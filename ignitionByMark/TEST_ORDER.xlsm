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esperbergman/Documents/ignitionByMark/"/>
    </mc:Choice>
  </mc:AlternateContent>
  <bookViews>
    <workbookView xWindow="4460" yWindow="460" windowWidth="25060" windowHeight="15180" activeTab="7"/>
  </bookViews>
  <sheets>
    <sheet name="Customer" sheetId="1" r:id="rId1"/>
    <sheet name="Cost sheet" sheetId="4" r:id="rId2"/>
    <sheet name="Workshop" sheetId="6" r:id="rId3"/>
    <sheet name="Appraisal" sheetId="8" r:id="rId4"/>
    <sheet name="LABLE" sheetId="9" r:id="rId5"/>
    <sheet name="Sheet1" sheetId="7" r:id="rId6"/>
    <sheet name="parameters" sheetId="2" r:id="rId7"/>
    <sheet name="Cost of Extras" sheetId="5" r:id="rId8"/>
  </sheets>
  <definedNames>
    <definedName name="_xlnm.Print_Area" localSheetId="1">'Cost sheet'!$A$1:$I$51</definedName>
    <definedName name="_xlnm.Print_Area" localSheetId="0">Customer!$A$1:$I$74</definedName>
    <definedName name="_xlnm.Print_Area" localSheetId="2">Workshop!$A$1:$J$41</definedName>
  </definedNames>
  <calcPr calcId="150001" iterate="1" iterateCount="200" iterateDelta="9.9999999999999995E-7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A20" i="1"/>
  <c r="H12" i="1"/>
  <c r="A5" i="9"/>
  <c r="A4" i="9"/>
  <c r="A3" i="9"/>
  <c r="A2" i="9"/>
  <c r="H13" i="1"/>
  <c r="H17" i="1"/>
  <c r="I31" i="1"/>
  <c r="B37" i="1"/>
  <c r="B38" i="1"/>
  <c r="B39" i="1"/>
  <c r="J21" i="6"/>
  <c r="J22" i="6"/>
  <c r="G22" i="6"/>
  <c r="D22" i="6"/>
  <c r="H22" i="6"/>
  <c r="G26" i="1"/>
  <c r="B38" i="4"/>
  <c r="D27" i="1"/>
  <c r="E22" i="6"/>
  <c r="A27" i="1"/>
  <c r="B22" i="6"/>
  <c r="B31" i="4"/>
  <c r="H21" i="6"/>
  <c r="B23" i="4"/>
  <c r="A35" i="1"/>
  <c r="J24" i="6"/>
  <c r="J23" i="6"/>
  <c r="G24" i="6"/>
  <c r="G23" i="6"/>
  <c r="D24" i="6"/>
  <c r="D23" i="6"/>
  <c r="B23" i="6"/>
  <c r="B24" i="6"/>
  <c r="E23" i="6"/>
  <c r="E24" i="6"/>
  <c r="H23" i="6"/>
  <c r="H24" i="6"/>
  <c r="H39" i="4"/>
  <c r="H40" i="4"/>
  <c r="H41" i="4"/>
  <c r="H42" i="4"/>
  <c r="H43" i="4"/>
  <c r="H44" i="4"/>
  <c r="H45" i="4"/>
  <c r="B45" i="4"/>
  <c r="B44" i="4"/>
  <c r="B43" i="4"/>
  <c r="B42" i="4"/>
  <c r="B41" i="4"/>
  <c r="B40" i="4"/>
  <c r="B39" i="4"/>
  <c r="D21" i="1"/>
  <c r="B10" i="6"/>
  <c r="B11" i="6"/>
  <c r="B9" i="6"/>
  <c r="B7" i="6"/>
  <c r="B6" i="6"/>
  <c r="B5" i="6"/>
  <c r="B4" i="6"/>
  <c r="B3" i="6"/>
  <c r="B3" i="4"/>
  <c r="B10" i="4"/>
  <c r="D13" i="4"/>
  <c r="B17" i="4"/>
  <c r="A22" i="1"/>
  <c r="B18" i="4"/>
  <c r="A23" i="1"/>
  <c r="B19" i="4"/>
  <c r="A24" i="1"/>
  <c r="B20" i="4"/>
  <c r="A25" i="1"/>
  <c r="B21" i="4"/>
  <c r="A26" i="1"/>
  <c r="B22" i="4"/>
  <c r="D20" i="1"/>
  <c r="B25" i="4"/>
  <c r="D22" i="1"/>
  <c r="B26" i="4"/>
  <c r="D23" i="1"/>
  <c r="B27" i="4"/>
  <c r="D24" i="1"/>
  <c r="E19" i="6"/>
  <c r="D25" i="1"/>
  <c r="B29" i="4"/>
  <c r="D26" i="1"/>
  <c r="E21" i="6"/>
  <c r="G20" i="1"/>
  <c r="G21" i="1"/>
  <c r="B33" i="4"/>
  <c r="G22" i="1"/>
  <c r="B34" i="4"/>
  <c r="G23" i="1"/>
  <c r="B35" i="4"/>
  <c r="G24" i="1"/>
  <c r="B36" i="4"/>
  <c r="G25" i="1"/>
  <c r="B37" i="4"/>
  <c r="J20" i="6"/>
  <c r="G21" i="6"/>
  <c r="G20" i="6"/>
  <c r="D21" i="6"/>
  <c r="D20" i="6"/>
  <c r="E25" i="6"/>
  <c r="B25" i="6"/>
  <c r="B6" i="4"/>
  <c r="B13" i="6"/>
  <c r="H7" i="6"/>
  <c r="E7" i="6"/>
  <c r="B13" i="4"/>
  <c r="H7" i="4"/>
  <c r="B7" i="4"/>
  <c r="B5" i="4"/>
  <c r="B4" i="4"/>
  <c r="D38" i="4"/>
  <c r="F38" i="4"/>
  <c r="H38" i="4"/>
  <c r="D39" i="4"/>
  <c r="B18" i="6"/>
  <c r="D18" i="6"/>
  <c r="D42" i="4"/>
  <c r="D45" i="4"/>
  <c r="D23" i="4"/>
  <c r="F23" i="4"/>
  <c r="H23" i="4"/>
  <c r="D43" i="4"/>
  <c r="D40" i="4"/>
  <c r="D44" i="4"/>
  <c r="D31" i="4"/>
  <c r="F31" i="4"/>
  <c r="H31" i="4"/>
  <c r="D41" i="4"/>
  <c r="B15" i="6"/>
  <c r="D15" i="6"/>
  <c r="B32" i="4"/>
  <c r="D32" i="4"/>
  <c r="F32" i="4"/>
  <c r="B16" i="6"/>
  <c r="D16" i="6"/>
  <c r="E18" i="6"/>
  <c r="G18" i="6"/>
  <c r="B21" i="6"/>
  <c r="D37" i="4"/>
  <c r="F37" i="4"/>
  <c r="H37" i="4"/>
  <c r="D33" i="4"/>
  <c r="F33" i="4"/>
  <c r="H33" i="4"/>
  <c r="H16" i="6"/>
  <c r="J16" i="6"/>
  <c r="B17" i="6"/>
  <c r="D17" i="6"/>
  <c r="D34" i="4"/>
  <c r="F34" i="4"/>
  <c r="H34" i="4"/>
  <c r="D17" i="4"/>
  <c r="F17" i="4"/>
  <c r="H17" i="4"/>
  <c r="H17" i="6"/>
  <c r="J17" i="6"/>
  <c r="E17" i="6"/>
  <c r="G17" i="6"/>
  <c r="B19" i="6"/>
  <c r="D19" i="6"/>
  <c r="H20" i="6"/>
  <c r="H15" i="6"/>
  <c r="J15" i="6"/>
  <c r="D35" i="4"/>
  <c r="F35" i="4"/>
  <c r="H35" i="4"/>
  <c r="B30" i="4"/>
  <c r="D30" i="4"/>
  <c r="F30" i="4"/>
  <c r="H30" i="4"/>
  <c r="D27" i="4"/>
  <c r="F27" i="4"/>
  <c r="H27" i="4"/>
  <c r="D22" i="4"/>
  <c r="F22" i="4"/>
  <c r="H22" i="4"/>
  <c r="D26" i="4"/>
  <c r="F26" i="4"/>
  <c r="H26" i="4"/>
  <c r="D21" i="4"/>
  <c r="F21" i="4"/>
  <c r="H21" i="4"/>
  <c r="D18" i="4"/>
  <c r="F18" i="4"/>
  <c r="H18" i="4"/>
  <c r="E16" i="6"/>
  <c r="G16" i="6"/>
  <c r="G19" i="6"/>
  <c r="D25" i="4"/>
  <c r="F25" i="4"/>
  <c r="H25" i="4"/>
  <c r="E20" i="6"/>
  <c r="D36" i="4"/>
  <c r="F36" i="4"/>
  <c r="H36" i="4"/>
  <c r="H18" i="6"/>
  <c r="J18" i="6"/>
  <c r="E15" i="6"/>
  <c r="G15" i="6"/>
  <c r="H19" i="6"/>
  <c r="J19" i="6"/>
  <c r="B20" i="6"/>
  <c r="B28" i="4"/>
  <c r="D28" i="4"/>
  <c r="F28" i="4"/>
  <c r="H28" i="4"/>
  <c r="B24" i="4"/>
  <c r="D24" i="4"/>
  <c r="F24" i="4"/>
  <c r="H24" i="4"/>
  <c r="B16" i="4"/>
  <c r="D16" i="4"/>
  <c r="D29" i="4"/>
  <c r="F29" i="4"/>
  <c r="H29" i="4"/>
  <c r="D20" i="4"/>
  <c r="F20" i="4"/>
  <c r="H20" i="4"/>
  <c r="D19" i="4"/>
  <c r="F19" i="4"/>
  <c r="H19" i="4"/>
  <c r="H13" i="4"/>
  <c r="D46" i="4"/>
  <c r="H32" i="4"/>
  <c r="F16" i="4"/>
  <c r="H16" i="4"/>
  <c r="H46" i="4"/>
  <c r="F46" i="4"/>
  <c r="J49" i="4"/>
  <c r="J47" i="4"/>
  <c r="H47" i="4"/>
  <c r="H49" i="4"/>
  <c r="H50" i="4"/>
  <c r="H48" i="4"/>
  <c r="H35" i="1"/>
  <c r="B33" i="1"/>
  <c r="B35" i="1"/>
</calcChain>
</file>

<file path=xl/sharedStrings.xml><?xml version="1.0" encoding="utf-8"?>
<sst xmlns="http://schemas.openxmlformats.org/spreadsheetml/2006/main" count="199" uniqueCount="131">
  <si>
    <t>Customer Order Form</t>
  </si>
  <si>
    <t>Customer Name:</t>
  </si>
  <si>
    <t>Address:</t>
  </si>
  <si>
    <t>Email:</t>
  </si>
  <si>
    <t>Phone - mobile:</t>
  </si>
  <si>
    <t>Phone - home:</t>
  </si>
  <si>
    <t>Phone - work:</t>
  </si>
  <si>
    <t>Enter Amount</t>
  </si>
  <si>
    <t>Vehicle:</t>
  </si>
  <si>
    <t>Rebate:</t>
  </si>
  <si>
    <t>Trade-in:</t>
  </si>
  <si>
    <t>Purchase Price Subtotal</t>
  </si>
  <si>
    <t>EXTRAS</t>
  </si>
  <si>
    <t>Commercial</t>
  </si>
  <si>
    <t>(Cost in all that are applicable)</t>
  </si>
  <si>
    <t>TOTAL EXTRAS COST</t>
  </si>
  <si>
    <t>TOTAL SALE PRICE</t>
  </si>
  <si>
    <t>Terms &amp; Conditions:</t>
  </si>
  <si>
    <t>Signed - Customer</t>
  </si>
  <si>
    <t>Signed - Wayne Kirk Motor Group</t>
  </si>
  <si>
    <t>Print Name:</t>
  </si>
  <si>
    <t>Date:</t>
  </si>
  <si>
    <t>Costing
Sheet</t>
  </si>
  <si>
    <t>Sell Price</t>
  </si>
  <si>
    <t>Cost Price</t>
  </si>
  <si>
    <t>Gross Margin</t>
  </si>
  <si>
    <t>Vehicle Purchased:</t>
  </si>
  <si>
    <t>Optional Extras Selected:</t>
  </si>
  <si>
    <t>TOTAL GM Extras</t>
  </si>
  <si>
    <t>TOTAL Gross Margin</t>
  </si>
  <si>
    <t>Workshop
Order Sheet</t>
  </si>
  <si>
    <t>Extra's Type:</t>
  </si>
  <si>
    <t>Extra's Selected:</t>
  </si>
  <si>
    <t>Passenger:</t>
  </si>
  <si>
    <t>Passenger</t>
  </si>
  <si>
    <t>Bonnet Protector (p)</t>
  </si>
  <si>
    <t>Mats (rubber or carpet) (p)</t>
  </si>
  <si>
    <t>Reversing Camera (p)</t>
  </si>
  <si>
    <t>Cargo Liner (p)</t>
  </si>
  <si>
    <t>Mud Flaps (p)</t>
  </si>
  <si>
    <t>Roof Racks (p)</t>
  </si>
  <si>
    <t>Fab Protection (p)</t>
  </si>
  <si>
    <t>Paint Protection (p)</t>
  </si>
  <si>
    <t>Seat Covers (p)</t>
  </si>
  <si>
    <t>þ</t>
  </si>
  <si>
    <t>Fire Extinguisher (p)</t>
  </si>
  <si>
    <t>Parking Sensors (p)</t>
  </si>
  <si>
    <t>Tow Bar (p)</t>
  </si>
  <si>
    <t>Fog Lamps (p)</t>
  </si>
  <si>
    <t>Rear bumper scuff plate (p)</t>
  </si>
  <si>
    <t>Weather Shields (p)</t>
  </si>
  <si>
    <t>20 inch alloys</t>
  </si>
  <si>
    <t>Full bull bar setup</t>
  </si>
  <si>
    <t>Roof Racks</t>
  </si>
  <si>
    <t>Bonnet Protector</t>
  </si>
  <si>
    <t>Seat Covers</t>
  </si>
  <si>
    <t>Canopy</t>
  </si>
  <si>
    <t>Hard lid</t>
  </si>
  <si>
    <t>Sports bar</t>
  </si>
  <si>
    <t>Deck liner</t>
  </si>
  <si>
    <t>Mats (rubber or carpet)</t>
  </si>
  <si>
    <t>Tow Bar</t>
  </si>
  <si>
    <t>Fab Protection</t>
  </si>
  <si>
    <t>Nudge Bar</t>
  </si>
  <si>
    <t>Ute master rear deck setup</t>
  </si>
  <si>
    <t>Fire Extinguisher</t>
  </si>
  <si>
    <t>Paint protection</t>
  </si>
  <si>
    <t>Weather Shields</t>
  </si>
  <si>
    <t>Flat deck setup</t>
  </si>
  <si>
    <t>Parking Sensors</t>
  </si>
  <si>
    <t>PASSENGER</t>
  </si>
  <si>
    <t>$</t>
  </si>
  <si>
    <t>COMMERCIAL</t>
  </si>
  <si>
    <t>Delivery time:</t>
  </si>
  <si>
    <t>Delivery date:</t>
  </si>
  <si>
    <t>am</t>
  </si>
  <si>
    <t>pm</t>
  </si>
  <si>
    <t>select AM/PM</t>
  </si>
  <si>
    <t>Comments:</t>
  </si>
  <si>
    <t>Stock Number:</t>
  </si>
  <si>
    <t>On-road Costs:</t>
  </si>
  <si>
    <t xml:space="preserve">Pre Delivery: </t>
  </si>
  <si>
    <t>Yes</t>
  </si>
  <si>
    <t>No</t>
  </si>
  <si>
    <t>Please Select</t>
  </si>
  <si>
    <t>Driver Licence</t>
  </si>
  <si>
    <t>Version</t>
  </si>
  <si>
    <t>D.O.B</t>
  </si>
  <si>
    <t>EXCLUDING GST</t>
  </si>
  <si>
    <t>TOTAL</t>
  </si>
  <si>
    <t>Date</t>
  </si>
  <si>
    <t>Tonneau cover</t>
  </si>
  <si>
    <t>Side Bars</t>
  </si>
  <si>
    <t>Vehicle Colour:</t>
  </si>
  <si>
    <t>GST Component</t>
  </si>
  <si>
    <t>GST Registered</t>
  </si>
  <si>
    <t>GST on Trade-in</t>
  </si>
  <si>
    <t>Black Duck Covers</t>
  </si>
  <si>
    <t>Reversing Camera only</t>
  </si>
  <si>
    <t>Total Vehicle Price + Extras</t>
  </si>
  <si>
    <t>GST</t>
  </si>
  <si>
    <t>Sub-total vehicle</t>
  </si>
  <si>
    <t>incl GST</t>
  </si>
  <si>
    <t>excl GST</t>
  </si>
  <si>
    <t>Deposit: The amount shown as  the deposit on signing is the consideration binding the parties to this agreement.The amount</t>
  </si>
  <si>
    <t>shall be applied against the purchase price.In the even that the agreement becomes unconditional and the purchaser does</t>
  </si>
  <si>
    <t xml:space="preserve">not complete the transaction,the deposit shall be forfeited to the dealer.  </t>
  </si>
  <si>
    <t xml:space="preserve">               Signed - Customer</t>
  </si>
  <si>
    <t xml:space="preserve"> MARK BARRY</t>
  </si>
  <si>
    <t>WAYNE KIRK MITSUBISHI</t>
  </si>
  <si>
    <t>0274-720610</t>
  </si>
  <si>
    <t>unless and until it is accepted by authorised officer of the dealer by signature in space provided above.</t>
  </si>
  <si>
    <r>
      <rPr>
        <b/>
        <sz val="11"/>
        <color theme="1"/>
        <rFont val="Calibri"/>
        <family val="2"/>
        <scheme val="minor"/>
      </rPr>
      <t>Acceptanceof offer:</t>
    </r>
    <r>
      <rPr>
        <sz val="11"/>
        <color theme="1"/>
        <rFont val="Calibri"/>
        <family val="2"/>
        <scheme val="minor"/>
      </rPr>
      <t>The purchaser acknowledges that this offer to purchase will not be binding</t>
    </r>
  </si>
  <si>
    <t xml:space="preserve">     mbarry@wkmotorsnapier.co.nz</t>
  </si>
  <si>
    <t xml:space="preserve">                                      This vehicle pricing has been agree but subject to finance      </t>
  </si>
  <si>
    <t xml:space="preserve">              Bank acc ANZ 06-0645-0352599-00</t>
  </si>
  <si>
    <t>WK</t>
  </si>
  <si>
    <t>SD</t>
  </si>
  <si>
    <t>GD</t>
  </si>
  <si>
    <t>Please note if this form is in a quote formation the quote is valid for seven working days.</t>
  </si>
  <si>
    <t>MR TONY TESTER</t>
  </si>
  <si>
    <t>231 TOP TOWN STREET HASTINGS</t>
  </si>
  <si>
    <t>ttester@xtra.co.nz</t>
  </si>
  <si>
    <t>00000000</t>
  </si>
  <si>
    <t>WHITE</t>
  </si>
  <si>
    <t>TRITON GLXR MAN 4X4</t>
  </si>
  <si>
    <t>30/3/2018</t>
  </si>
  <si>
    <t>10.30</t>
  </si>
  <si>
    <t>VEHICLE IN STOCK</t>
  </si>
  <si>
    <t>MATS TO BE RUBBER</t>
  </si>
  <si>
    <t>Full pull bar setup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</si>
</sst>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;[Red]\-&quot;$&quot;#,##0"/>
    <numFmt numFmtId="165" formatCode="&quot;$&quot;#,##0.00;[Red]\-&quot;$&quot;#,##0.00"/>
    <numFmt numFmtId="166" formatCode="0;\-0;;@"/>
    <numFmt numFmtId="167" formatCode="&quot;$&quot;#,##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C2C2D"/>
      <name val="Times New Roman"/>
      <family val="1"/>
    </font>
    <font>
      <sz val="8"/>
      <color rgb="FF242729"/>
      <name val="Consolas"/>
      <family val="3"/>
    </font>
    <font>
      <sz val="10"/>
      <color rgb="FF0A0101"/>
      <name val="Arial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theme="1"/>
      <name val="Wingdings"/>
      <charset val="2"/>
    </font>
    <font>
      <sz val="8"/>
      <color rgb="FF333333"/>
      <name val="Georgia"/>
      <family val="1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3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Wingdings 3"/>
      <family val="1"/>
      <charset val="2"/>
    </font>
    <font>
      <sz val="22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218">
    <xf numFmtId="0" fontId="0" fillId="0" borderId="0" xfId="0"/>
    <xf numFmtId="0" fontId="5" fillId="0" borderId="0" xfId="0" applyFont="1"/>
    <xf numFmtId="165" fontId="0" fillId="0" borderId="0" xfId="0" applyNumberFormat="1" applyAlignment="1">
      <alignment horizontal="center"/>
    </xf>
    <xf numFmtId="0" fontId="2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Continuous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19" xfId="0" applyBorder="1" applyProtection="1">
      <protection locked="0"/>
    </xf>
    <xf numFmtId="0" fontId="1" fillId="0" borderId="0" xfId="0" applyFont="1" applyProtection="1"/>
    <xf numFmtId="0" fontId="1" fillId="0" borderId="1" xfId="0" applyFont="1" applyBorder="1" applyAlignment="1" applyProtection="1">
      <alignment horizontal="right"/>
    </xf>
    <xf numFmtId="0" fontId="1" fillId="4" borderId="0" xfId="0" applyFont="1" applyFill="1"/>
    <xf numFmtId="0" fontId="6" fillId="4" borderId="0" xfId="0" applyFont="1" applyFill="1"/>
    <xf numFmtId="165" fontId="6" fillId="4" borderId="0" xfId="0" applyNumberFormat="1" applyFont="1" applyFill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8" fillId="0" borderId="0" xfId="0" applyFont="1"/>
    <xf numFmtId="0" fontId="0" fillId="0" borderId="0" xfId="0" applyNumberFormat="1" applyProtection="1">
      <protection locked="0"/>
    </xf>
    <xf numFmtId="0" fontId="9" fillId="0" borderId="0" xfId="0" applyFont="1"/>
    <xf numFmtId="0" fontId="10" fillId="0" borderId="0" xfId="0" applyFont="1"/>
    <xf numFmtId="0" fontId="0" fillId="0" borderId="0" xfId="0" applyProtection="1"/>
    <xf numFmtId="0" fontId="5" fillId="0" borderId="0" xfId="0" applyFont="1" applyProtection="1">
      <protection locked="0"/>
    </xf>
    <xf numFmtId="0" fontId="15" fillId="0" borderId="0" xfId="0" applyFont="1" applyProtection="1"/>
    <xf numFmtId="0" fontId="14" fillId="0" borderId="0" xfId="0" applyFont="1" applyProtection="1">
      <protection locked="0"/>
    </xf>
    <xf numFmtId="0" fontId="16" fillId="0" borderId="0" xfId="0" applyFont="1"/>
    <xf numFmtId="0" fontId="13" fillId="0" borderId="19" xfId="0" applyFont="1" applyBorder="1" applyAlignment="1" applyProtection="1">
      <alignment horizontal="center"/>
    </xf>
    <xf numFmtId="0" fontId="7" fillId="0" borderId="19" xfId="0" applyFont="1" applyBorder="1" applyAlignment="1" applyProtection="1">
      <alignment horizontal="center"/>
    </xf>
    <xf numFmtId="2" fontId="11" fillId="0" borderId="0" xfId="0" applyNumberFormat="1" applyFont="1" applyProtection="1"/>
    <xf numFmtId="2" fontId="0" fillId="0" borderId="0" xfId="0" applyNumberFormat="1" applyProtection="1"/>
    <xf numFmtId="0" fontId="13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14" fillId="0" borderId="0" xfId="0" applyFont="1" applyAlignment="1" applyProtection="1"/>
    <xf numFmtId="0" fontId="0" fillId="0" borderId="19" xfId="0" applyBorder="1" applyAlignment="1" applyProtection="1">
      <alignment horizontal="centerContinuous"/>
      <protection locked="0"/>
    </xf>
    <xf numFmtId="0" fontId="1" fillId="0" borderId="0" xfId="0" applyFont="1" applyFill="1" applyBorder="1" applyProtection="1"/>
    <xf numFmtId="0" fontId="0" fillId="0" borderId="19" xfId="0" applyBorder="1" applyProtection="1"/>
    <xf numFmtId="0" fontId="3" fillId="7" borderId="0" xfId="0" applyFont="1" applyFill="1" applyAlignment="1" applyProtection="1">
      <alignment horizontal="centerContinuous"/>
      <protection locked="0"/>
    </xf>
    <xf numFmtId="0" fontId="0" fillId="7" borderId="0" xfId="0" applyFill="1" applyProtection="1">
      <protection locked="0"/>
    </xf>
    <xf numFmtId="0" fontId="2" fillId="7" borderId="0" xfId="0" applyFont="1" applyFill="1" applyProtection="1">
      <protection locked="0"/>
    </xf>
    <xf numFmtId="0" fontId="3" fillId="8" borderId="0" xfId="0" applyFont="1" applyFill="1" applyAlignment="1" applyProtection="1">
      <alignment horizontal="centerContinuous"/>
      <protection locked="0"/>
    </xf>
    <xf numFmtId="0" fontId="0" fillId="8" borderId="0" xfId="0" applyFill="1" applyProtection="1">
      <protection locked="0"/>
    </xf>
    <xf numFmtId="0" fontId="2" fillId="8" borderId="0" xfId="0" applyFont="1" applyFill="1" applyProtection="1">
      <protection locked="0"/>
    </xf>
    <xf numFmtId="9" fontId="0" fillId="0" borderId="0" xfId="1" applyFont="1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" fillId="0" borderId="0" xfId="0" applyFont="1" applyBorder="1" applyAlignment="1" applyProtection="1">
      <alignment horizontal="left" indent="1"/>
      <protection locked="0"/>
    </xf>
    <xf numFmtId="0" fontId="14" fillId="0" borderId="0" xfId="0" applyFont="1" applyAlignment="1" applyProtection="1"/>
    <xf numFmtId="0" fontId="0" fillId="0" borderId="0" xfId="0" applyBorder="1" applyAlignment="1" applyProtection="1">
      <alignment horizontal="centerContinuous"/>
      <protection locked="0"/>
    </xf>
    <xf numFmtId="0" fontId="0" fillId="0" borderId="7" xfId="0" applyBorder="1" applyProtection="1">
      <protection locked="0"/>
    </xf>
    <xf numFmtId="0" fontId="0" fillId="2" borderId="0" xfId="0" applyFill="1" applyAlignment="1" applyProtection="1">
      <alignment horizontal="left" indent="1"/>
      <protection locked="0"/>
    </xf>
    <xf numFmtId="166" fontId="0" fillId="0" borderId="2" xfId="0" applyNumberFormat="1" applyBorder="1" applyAlignment="1" applyProtection="1">
      <alignment horizontal="left"/>
    </xf>
    <xf numFmtId="166" fontId="0" fillId="0" borderId="4" xfId="0" applyNumberFormat="1" applyBorder="1" applyAlignment="1" applyProtection="1">
      <alignment horizontal="left"/>
    </xf>
    <xf numFmtId="49" fontId="0" fillId="2" borderId="0" xfId="0" applyNumberFormat="1" applyFill="1" applyBorder="1" applyAlignment="1" applyProtection="1">
      <alignment horizontal="left" indent="1"/>
      <protection locked="0"/>
    </xf>
    <xf numFmtId="0" fontId="14" fillId="0" borderId="0" xfId="0" applyFont="1" applyAlignment="1" applyProtection="1"/>
    <xf numFmtId="0" fontId="0" fillId="0" borderId="0" xfId="0" applyFill="1"/>
    <xf numFmtId="0" fontId="20" fillId="0" borderId="11" xfId="0" applyFont="1" applyBorder="1" applyAlignment="1" applyProtection="1"/>
    <xf numFmtId="0" fontId="20" fillId="0" borderId="12" xfId="0" applyFont="1" applyBorder="1" applyAlignment="1" applyProtection="1"/>
    <xf numFmtId="0" fontId="20" fillId="0" borderId="12" xfId="0" applyFont="1" applyBorder="1" applyProtection="1">
      <protection locked="0"/>
    </xf>
    <xf numFmtId="0" fontId="20" fillId="0" borderId="13" xfId="0" applyFont="1" applyBorder="1" applyProtection="1">
      <protection locked="0"/>
    </xf>
    <xf numFmtId="0" fontId="20" fillId="0" borderId="14" xfId="0" applyFont="1" applyBorder="1" applyAlignment="1" applyProtection="1"/>
    <xf numFmtId="0" fontId="20" fillId="0" borderId="0" xfId="0" applyFont="1" applyBorder="1" applyAlignment="1" applyProtection="1"/>
    <xf numFmtId="0" fontId="20" fillId="0" borderId="0" xfId="0" applyFont="1" applyBorder="1" applyProtection="1">
      <protection locked="0"/>
    </xf>
    <xf numFmtId="0" fontId="20" fillId="0" borderId="15" xfId="0" applyFont="1" applyBorder="1" applyProtection="1">
      <protection locked="0"/>
    </xf>
    <xf numFmtId="0" fontId="20" fillId="0" borderId="14" xfId="0" applyFont="1" applyBorder="1" applyAlignment="1" applyProtection="1">
      <protection locked="0"/>
    </xf>
    <xf numFmtId="0" fontId="20" fillId="0" borderId="0" xfId="0" applyFont="1" applyBorder="1" applyAlignment="1"/>
    <xf numFmtId="0" fontId="20" fillId="0" borderId="14" xfId="0" applyFont="1" applyBorder="1" applyProtection="1">
      <protection locked="0"/>
    </xf>
    <xf numFmtId="0" fontId="20" fillId="0" borderId="16" xfId="0" applyFont="1" applyBorder="1" applyProtection="1">
      <protection locked="0"/>
    </xf>
    <xf numFmtId="0" fontId="20" fillId="0" borderId="17" xfId="0" applyFont="1" applyBorder="1" applyProtection="1">
      <protection locked="0"/>
    </xf>
    <xf numFmtId="0" fontId="20" fillId="0" borderId="18" xfId="0" applyFont="1" applyBorder="1" applyProtection="1">
      <protection locked="0"/>
    </xf>
    <xf numFmtId="0" fontId="23" fillId="6" borderId="0" xfId="0" applyFont="1" applyFill="1" applyAlignment="1">
      <alignment horizontal="centerContinuous"/>
    </xf>
    <xf numFmtId="0" fontId="22" fillId="6" borderId="0" xfId="0" applyFont="1" applyFill="1"/>
    <xf numFmtId="0" fontId="24" fillId="6" borderId="0" xfId="0" applyFont="1" applyFill="1"/>
    <xf numFmtId="0" fontId="24" fillId="3" borderId="0" xfId="0" applyFont="1" applyFill="1"/>
    <xf numFmtId="0" fontId="22" fillId="0" borderId="0" xfId="0" applyFont="1"/>
    <xf numFmtId="0" fontId="25" fillId="0" borderId="0" xfId="0" applyFont="1" applyAlignment="1">
      <alignment horizontal="left"/>
    </xf>
    <xf numFmtId="0" fontId="22" fillId="0" borderId="0" xfId="0" applyFont="1" applyAlignment="1">
      <alignment horizontal="centerContinuous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22" fillId="0" borderId="3" xfId="0" applyFont="1" applyBorder="1"/>
    <xf numFmtId="0" fontId="22" fillId="0" borderId="0" xfId="0" applyFont="1" applyAlignment="1" applyProtection="1">
      <alignment horizontal="center"/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0" xfId="0" applyFont="1" applyBorder="1"/>
    <xf numFmtId="0" fontId="22" fillId="0" borderId="0" xfId="0" applyFont="1" applyAlignment="1" applyProtection="1">
      <alignment horizontal="right"/>
      <protection locked="0"/>
    </xf>
    <xf numFmtId="0" fontId="22" fillId="0" borderId="1" xfId="0" applyFont="1" applyBorder="1" applyProtection="1">
      <protection locked="0"/>
    </xf>
    <xf numFmtId="165" fontId="22" fillId="0" borderId="0" xfId="0" applyNumberFormat="1" applyFont="1"/>
    <xf numFmtId="165" fontId="22" fillId="0" borderId="0" xfId="0" applyNumberFormat="1" applyFont="1" applyBorder="1"/>
    <xf numFmtId="0" fontId="22" fillId="0" borderId="1" xfId="0" applyFont="1" applyBorder="1" applyProtection="1"/>
    <xf numFmtId="0" fontId="25" fillId="0" borderId="0" xfId="0" applyFont="1" applyProtection="1">
      <protection locked="0"/>
    </xf>
    <xf numFmtId="0" fontId="22" fillId="0" borderId="0" xfId="0" applyFont="1" applyFill="1" applyBorder="1" applyAlignment="1" applyProtection="1">
      <alignment horizontal="right"/>
      <protection locked="0"/>
    </xf>
    <xf numFmtId="0" fontId="22" fillId="0" borderId="0" xfId="0" applyFont="1" applyBorder="1" applyProtection="1"/>
    <xf numFmtId="0" fontId="22" fillId="0" borderId="0" xfId="0" applyFont="1" applyBorder="1" applyProtection="1">
      <protection locked="0"/>
    </xf>
    <xf numFmtId="0" fontId="27" fillId="0" borderId="0" xfId="0" applyFont="1" applyAlignment="1" applyProtection="1">
      <alignment horizontal="right"/>
      <protection locked="0"/>
    </xf>
    <xf numFmtId="0" fontId="27" fillId="0" borderId="0" xfId="0" applyFont="1" applyAlignment="1" applyProtection="1">
      <alignment horizontal="left"/>
      <protection locked="0"/>
    </xf>
    <xf numFmtId="0" fontId="28" fillId="0" borderId="0" xfId="0" applyFont="1" applyProtection="1">
      <protection locked="0"/>
    </xf>
    <xf numFmtId="166" fontId="22" fillId="0" borderId="1" xfId="0" applyNumberFormat="1" applyFont="1" applyBorder="1" applyProtection="1"/>
    <xf numFmtId="0" fontId="22" fillId="0" borderId="1" xfId="0" applyFont="1" applyFill="1" applyBorder="1" applyProtection="1"/>
    <xf numFmtId="166" fontId="22" fillId="0" borderId="1" xfId="0" applyNumberFormat="1" applyFont="1" applyFill="1" applyBorder="1" applyProtection="1"/>
    <xf numFmtId="0" fontId="22" fillId="3" borderId="0" xfId="0" applyFont="1" applyFill="1"/>
    <xf numFmtId="165" fontId="22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165" fontId="22" fillId="3" borderId="0" xfId="0" applyNumberFormat="1" applyFont="1" applyFill="1"/>
    <xf numFmtId="164" fontId="25" fillId="0" borderId="0" xfId="0" applyNumberFormat="1" applyFont="1" applyBorder="1" applyAlignment="1" applyProtection="1">
      <protection locked="0"/>
    </xf>
    <xf numFmtId="0" fontId="22" fillId="0" borderId="0" xfId="0" applyFont="1" applyBorder="1" applyAlignment="1" applyProtection="1">
      <protection locked="0"/>
    </xf>
    <xf numFmtId="0" fontId="22" fillId="0" borderId="0" xfId="0" applyFont="1" applyAlignment="1">
      <alignment horizontal="left"/>
    </xf>
    <xf numFmtId="0" fontId="22" fillId="0" borderId="11" xfId="0" applyFont="1" applyBorder="1" applyProtection="1">
      <protection locked="0"/>
    </xf>
    <xf numFmtId="0" fontId="22" fillId="0" borderId="12" xfId="0" applyFont="1" applyBorder="1" applyProtection="1">
      <protection locked="0"/>
    </xf>
    <xf numFmtId="0" fontId="22" fillId="0" borderId="13" xfId="0" applyFont="1" applyBorder="1" applyProtection="1">
      <protection locked="0"/>
    </xf>
    <xf numFmtId="0" fontId="22" fillId="0" borderId="14" xfId="0" applyFont="1" applyBorder="1" applyProtection="1">
      <protection locked="0"/>
    </xf>
    <xf numFmtId="0" fontId="22" fillId="0" borderId="15" xfId="0" applyFont="1" applyBorder="1" applyProtection="1">
      <protection locked="0"/>
    </xf>
    <xf numFmtId="0" fontId="22" fillId="11" borderId="11" xfId="0" applyFont="1" applyFill="1" applyBorder="1" applyProtection="1">
      <protection locked="0"/>
    </xf>
    <xf numFmtId="0" fontId="22" fillId="11" borderId="12" xfId="0" applyFont="1" applyFill="1" applyBorder="1" applyProtection="1">
      <protection locked="0"/>
    </xf>
    <xf numFmtId="0" fontId="22" fillId="11" borderId="13" xfId="0" applyFont="1" applyFill="1" applyBorder="1" applyProtection="1">
      <protection locked="0"/>
    </xf>
    <xf numFmtId="0" fontId="22" fillId="0" borderId="16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11" borderId="16" xfId="0" applyFont="1" applyFill="1" applyBorder="1" applyProtection="1">
      <protection locked="0"/>
    </xf>
    <xf numFmtId="0" fontId="22" fillId="11" borderId="17" xfId="0" applyFont="1" applyFill="1" applyBorder="1" applyProtection="1">
      <protection locked="0"/>
    </xf>
    <xf numFmtId="0" fontId="29" fillId="0" borderId="0" xfId="2" applyFont="1" applyProtection="1">
      <protection locked="0"/>
    </xf>
    <xf numFmtId="0" fontId="22" fillId="0" borderId="19" xfId="0" applyFont="1" applyBorder="1" applyProtection="1">
      <protection locked="0"/>
    </xf>
    <xf numFmtId="0" fontId="30" fillId="0" borderId="0" xfId="0" applyFont="1" applyProtection="1">
      <protection locked="0"/>
    </xf>
    <xf numFmtId="0" fontId="0" fillId="0" borderId="0" xfId="0" applyBorder="1"/>
    <xf numFmtId="0" fontId="22" fillId="11" borderId="15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31" fillId="0" borderId="0" xfId="0" applyFont="1"/>
    <xf numFmtId="0" fontId="30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1" xfId="0" applyFont="1" applyBorder="1" applyProtection="1">
      <protection locked="0"/>
    </xf>
    <xf numFmtId="0" fontId="32" fillId="0" borderId="0" xfId="0" applyFont="1" applyBorder="1"/>
    <xf numFmtId="0" fontId="32" fillId="0" borderId="0" xfId="0" applyFont="1" applyBorder="1" applyAlignment="1">
      <alignment horizontal="left"/>
    </xf>
    <xf numFmtId="49" fontId="32" fillId="0" borderId="0" xfId="0" applyNumberFormat="1" applyFont="1" applyBorder="1"/>
    <xf numFmtId="0" fontId="0" fillId="9" borderId="24" xfId="0" applyFont="1" applyFill="1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22" fillId="0" borderId="21" xfId="0" applyFont="1" applyBorder="1" applyProtection="1">
      <protection locked="0"/>
    </xf>
    <xf numFmtId="0" fontId="22" fillId="0" borderId="25" xfId="0" applyFont="1" applyBorder="1" applyProtection="1">
      <protection locked="0"/>
    </xf>
    <xf numFmtId="0" fontId="22" fillId="0" borderId="22" xfId="0" applyFont="1" applyBorder="1" applyProtection="1">
      <protection locked="0"/>
    </xf>
    <xf numFmtId="0" fontId="29" fillId="0" borderId="0" xfId="0" applyFont="1"/>
    <xf numFmtId="165" fontId="22" fillId="0" borderId="2" xfId="0" applyNumberFormat="1" applyFont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165" fontId="22" fillId="0" borderId="7" xfId="0" applyNumberFormat="1" applyFont="1" applyBorder="1" applyAlignment="1" applyProtection="1">
      <protection locked="0"/>
    </xf>
    <xf numFmtId="165" fontId="22" fillId="0" borderId="0" xfId="0" applyNumberFormat="1" applyFont="1" applyAlignment="1" applyProtection="1">
      <protection locked="0"/>
    </xf>
    <xf numFmtId="165" fontId="25" fillId="0" borderId="5" xfId="0" applyNumberFormat="1" applyFont="1" applyBorder="1" applyAlignment="1" applyProtection="1">
      <protection locked="0"/>
    </xf>
    <xf numFmtId="165" fontId="22" fillId="0" borderId="5" xfId="0" applyNumberFormat="1" applyFont="1" applyBorder="1" applyAlignment="1"/>
    <xf numFmtId="165" fontId="22" fillId="0" borderId="4" xfId="0" applyNumberFormat="1" applyFont="1" applyBorder="1" applyAlignment="1" applyProtection="1">
      <alignment horizontal="center"/>
      <protection locked="0"/>
    </xf>
    <xf numFmtId="165" fontId="27" fillId="0" borderId="0" xfId="0" applyNumberFormat="1" applyFont="1" applyBorder="1" applyAlignment="1"/>
    <xf numFmtId="165" fontId="22" fillId="0" borderId="7" xfId="0" applyNumberFormat="1" applyFont="1" applyBorder="1" applyAlignment="1" applyProtection="1"/>
    <xf numFmtId="165" fontId="22" fillId="0" borderId="0" xfId="0" applyNumberFormat="1" applyFont="1" applyAlignment="1" applyProtection="1"/>
    <xf numFmtId="0" fontId="21" fillId="6" borderId="0" xfId="0" applyFont="1" applyFill="1" applyAlignment="1">
      <alignment horizontal="left" wrapText="1"/>
    </xf>
    <xf numFmtId="0" fontId="22" fillId="6" borderId="0" xfId="0" applyFont="1" applyFill="1" applyAlignment="1">
      <alignment horizontal="left"/>
    </xf>
    <xf numFmtId="49" fontId="0" fillId="0" borderId="8" xfId="0" applyNumberFormat="1" applyFont="1" applyBorder="1" applyAlignment="1">
      <alignment horizontal="left"/>
    </xf>
    <xf numFmtId="49" fontId="22" fillId="0" borderId="8" xfId="0" applyNumberFormat="1" applyFont="1" applyBorder="1" applyAlignment="1">
      <alignment horizontal="left"/>
    </xf>
    <xf numFmtId="0" fontId="26" fillId="0" borderId="0" xfId="0" applyFont="1" applyAlignment="1" applyProtection="1">
      <alignment horizontal="right"/>
      <protection locked="0"/>
    </xf>
    <xf numFmtId="0" fontId="26" fillId="0" borderId="0" xfId="0" applyFont="1" applyAlignment="1" applyProtection="1">
      <protection locked="0"/>
    </xf>
    <xf numFmtId="0" fontId="0" fillId="0" borderId="1" xfId="0" applyFont="1" applyBorder="1" applyAlignment="1"/>
    <xf numFmtId="0" fontId="22" fillId="0" borderId="1" xfId="0" applyFont="1" applyBorder="1" applyAlignment="1"/>
    <xf numFmtId="0" fontId="19" fillId="0" borderId="1" xfId="2" applyBorder="1" applyAlignment="1"/>
    <xf numFmtId="0" fontId="0" fillId="0" borderId="8" xfId="0" applyFont="1" applyBorder="1" applyAlignment="1">
      <alignment horizontal="left"/>
    </xf>
    <xf numFmtId="0" fontId="22" fillId="0" borderId="8" xfId="0" applyFont="1" applyBorder="1" applyAlignment="1">
      <alignment horizontal="left"/>
    </xf>
    <xf numFmtId="14" fontId="0" fillId="0" borderId="8" xfId="0" applyNumberFormat="1" applyFont="1" applyBorder="1" applyAlignment="1">
      <alignment horizontal="left"/>
    </xf>
    <xf numFmtId="0" fontId="22" fillId="2" borderId="2" xfId="0" applyFont="1" applyFill="1" applyBorder="1" applyAlignment="1" applyProtection="1">
      <protection locked="0"/>
    </xf>
    <xf numFmtId="0" fontId="22" fillId="2" borderId="4" xfId="0" applyFont="1" applyFill="1" applyBorder="1" applyAlignment="1" applyProtection="1">
      <protection locked="0"/>
    </xf>
    <xf numFmtId="165" fontId="22" fillId="0" borderId="0" xfId="0" applyNumberFormat="1" applyFont="1" applyBorder="1" applyAlignment="1" applyProtection="1"/>
    <xf numFmtId="165" fontId="27" fillId="0" borderId="2" xfId="0" applyNumberFormat="1" applyFont="1" applyBorder="1" applyAlignment="1" applyProtection="1"/>
    <xf numFmtId="165" fontId="27" fillId="0" borderId="3" xfId="0" applyNumberFormat="1" applyFont="1" applyBorder="1" applyAlignment="1" applyProtection="1"/>
    <xf numFmtId="0" fontId="27" fillId="0" borderId="0" xfId="0" applyFont="1" applyAlignment="1" applyProtection="1">
      <alignment horizontal="right"/>
      <protection locked="0"/>
    </xf>
    <xf numFmtId="165" fontId="25" fillId="0" borderId="5" xfId="0" applyNumberFormat="1" applyFont="1" applyBorder="1" applyAlignment="1" applyProtection="1"/>
    <xf numFmtId="165" fontId="22" fillId="0" borderId="5" xfId="0" applyNumberFormat="1" applyFont="1" applyBorder="1" applyAlignment="1" applyProtection="1"/>
    <xf numFmtId="165" fontId="25" fillId="0" borderId="0" xfId="0" applyNumberFormat="1" applyFont="1" applyBorder="1" applyAlignment="1" applyProtection="1">
      <protection locked="0"/>
    </xf>
    <xf numFmtId="165" fontId="22" fillId="0" borderId="0" xfId="0" applyNumberFormat="1" applyFont="1" applyBorder="1" applyAlignment="1" applyProtection="1">
      <protection locked="0"/>
    </xf>
    <xf numFmtId="0" fontId="22" fillId="2" borderId="2" xfId="0" applyFont="1" applyFill="1" applyBorder="1" applyAlignment="1" applyProtection="1">
      <alignment horizontal="center"/>
      <protection locked="0"/>
    </xf>
    <xf numFmtId="0" fontId="22" fillId="2" borderId="4" xfId="0" applyFont="1" applyFill="1" applyBorder="1" applyAlignment="1" applyProtection="1">
      <alignment horizontal="center"/>
      <protection locked="0"/>
    </xf>
    <xf numFmtId="165" fontId="22" fillId="0" borderId="5" xfId="0" applyNumberFormat="1" applyFont="1" applyBorder="1" applyAlignment="1" applyProtection="1">
      <protection locked="0"/>
    </xf>
    <xf numFmtId="165" fontId="22" fillId="0" borderId="23" xfId="0" applyNumberFormat="1" applyFont="1" applyBorder="1" applyAlignment="1" applyProtection="1">
      <alignment horizontal="right"/>
    </xf>
    <xf numFmtId="164" fontId="12" fillId="5" borderId="21" xfId="0" applyNumberFormat="1" applyFont="1" applyFill="1" applyBorder="1" applyAlignment="1" applyProtection="1"/>
    <xf numFmtId="0" fontId="12" fillId="5" borderId="22" xfId="0" applyFont="1" applyFill="1" applyBorder="1" applyAlignment="1" applyProtection="1"/>
    <xf numFmtId="165" fontId="0" fillId="0" borderId="1" xfId="0" applyNumberFormat="1" applyBorder="1" applyAlignment="1" applyProtection="1">
      <alignment horizontal="center"/>
    </xf>
    <xf numFmtId="167" fontId="17" fillId="9" borderId="21" xfId="0" applyNumberFormat="1" applyFont="1" applyFill="1" applyBorder="1" applyAlignment="1" applyProtection="1">
      <alignment horizontal="center"/>
      <protection locked="0"/>
    </xf>
    <xf numFmtId="167" fontId="17" fillId="9" borderId="22" xfId="0" applyNumberFormat="1" applyFont="1" applyFill="1" applyBorder="1" applyAlignment="1" applyProtection="1">
      <alignment horizontal="center"/>
      <protection locked="0"/>
    </xf>
    <xf numFmtId="165" fontId="0" fillId="0" borderId="6" xfId="0" applyNumberFormat="1" applyBorder="1" applyAlignment="1" applyProtection="1">
      <alignment horizontal="center"/>
    </xf>
    <xf numFmtId="165" fontId="0" fillId="0" borderId="20" xfId="0" applyNumberFormat="1" applyBorder="1" applyAlignment="1" applyProtection="1">
      <alignment horizontal="center"/>
    </xf>
    <xf numFmtId="0" fontId="0" fillId="0" borderId="8" xfId="0" applyBorder="1" applyAlignment="1" applyProtection="1">
      <alignment horizontal="left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65" fontId="0" fillId="0" borderId="2" xfId="0" applyNumberFormat="1" applyBorder="1" applyAlignment="1" applyProtection="1">
      <alignment horizontal="center"/>
    </xf>
    <xf numFmtId="165" fontId="0" fillId="0" borderId="4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left"/>
    </xf>
    <xf numFmtId="164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left"/>
    </xf>
    <xf numFmtId="165" fontId="1" fillId="10" borderId="2" xfId="0" applyNumberFormat="1" applyFont="1" applyFill="1" applyBorder="1" applyAlignment="1" applyProtection="1">
      <alignment horizontal="center"/>
    </xf>
    <xf numFmtId="0" fontId="1" fillId="10" borderId="4" xfId="0" applyFont="1" applyFill="1" applyBorder="1" applyAlignment="1" applyProtection="1">
      <alignment horizontal="center"/>
    </xf>
    <xf numFmtId="164" fontId="17" fillId="9" borderId="11" xfId="0" applyNumberFormat="1" applyFont="1" applyFill="1" applyBorder="1" applyAlignment="1" applyProtection="1">
      <alignment horizontal="center"/>
      <protection locked="0"/>
    </xf>
    <xf numFmtId="164" fontId="17" fillId="9" borderId="13" xfId="0" applyNumberFormat="1" applyFont="1" applyFill="1" applyBorder="1" applyAlignment="1" applyProtection="1">
      <alignment horizontal="center"/>
      <protection locked="0"/>
    </xf>
    <xf numFmtId="164" fontId="17" fillId="9" borderId="16" xfId="0" applyNumberFormat="1" applyFont="1" applyFill="1" applyBorder="1" applyAlignment="1" applyProtection="1">
      <alignment horizontal="center"/>
      <protection locked="0"/>
    </xf>
    <xf numFmtId="164" fontId="17" fillId="9" borderId="18" xfId="0" applyNumberFormat="1" applyFont="1" applyFill="1" applyBorder="1" applyAlignment="1" applyProtection="1">
      <alignment horizontal="center"/>
      <protection locked="0"/>
    </xf>
    <xf numFmtId="164" fontId="12" fillId="5" borderId="16" xfId="0" applyNumberFormat="1" applyFont="1" applyFill="1" applyBorder="1" applyAlignment="1" applyProtection="1"/>
    <xf numFmtId="0" fontId="12" fillId="5" borderId="18" xfId="0" applyFont="1" applyFill="1" applyBorder="1" applyAlignment="1" applyProtection="1"/>
    <xf numFmtId="0" fontId="4" fillId="7" borderId="0" xfId="0" applyFont="1" applyFill="1" applyAlignment="1" applyProtection="1">
      <alignment horizontal="left" wrapText="1"/>
      <protection locked="0"/>
    </xf>
    <xf numFmtId="0" fontId="0" fillId="7" borderId="0" xfId="0" applyFill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4" xfId="0" applyBorder="1" applyAlignment="1" applyProtection="1">
      <alignment horizontal="left"/>
    </xf>
    <xf numFmtId="0" fontId="0" fillId="0" borderId="9" xfId="0" applyBorder="1" applyAlignment="1" applyProtection="1">
      <alignment vertical="distributed"/>
    </xf>
    <xf numFmtId="0" fontId="0" fillId="0" borderId="10" xfId="0" applyBorder="1" applyAlignment="1" applyProtection="1">
      <alignment vertical="distributed"/>
    </xf>
    <xf numFmtId="0" fontId="13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1" fillId="10" borderId="2" xfId="0" applyFont="1" applyFill="1" applyBorder="1" applyAlignment="1" applyProtection="1">
      <alignment horizontal="center"/>
    </xf>
    <xf numFmtId="14" fontId="0" fillId="0" borderId="8" xfId="0" applyNumberFormat="1" applyBorder="1" applyAlignment="1" applyProtection="1">
      <alignment horizontal="left"/>
    </xf>
    <xf numFmtId="165" fontId="0" fillId="2" borderId="2" xfId="0" applyNumberFormat="1" applyFill="1" applyBorder="1" applyAlignment="1" applyProtection="1">
      <alignment horizontal="center"/>
    </xf>
    <xf numFmtId="165" fontId="0" fillId="2" borderId="4" xfId="0" applyNumberFormat="1" applyFill="1" applyBorder="1" applyAlignment="1" applyProtection="1">
      <alignment horizontal="center"/>
    </xf>
    <xf numFmtId="0" fontId="14" fillId="0" borderId="0" xfId="0" applyFont="1" applyAlignment="1" applyProtection="1"/>
    <xf numFmtId="0" fontId="4" fillId="8" borderId="0" xfId="0" applyFont="1" applyFill="1" applyAlignment="1" applyProtection="1">
      <alignment horizontal="left" wrapText="1"/>
      <protection locked="0"/>
    </xf>
    <xf numFmtId="0" fontId="0" fillId="8" borderId="0" xfId="0" applyFill="1" applyAlignment="1" applyProtection="1">
      <alignment horizontal="left"/>
      <protection locked="0"/>
    </xf>
    <xf numFmtId="0" fontId="0" fillId="0" borderId="19" xfId="0" applyBorder="1" applyAlignment="1" applyProtection="1">
      <alignment vertical="distributed"/>
    </xf>
    <xf numFmtId="0" fontId="0" fillId="0" borderId="19" xfId="0" applyBorder="1" applyAlignment="1">
      <alignment vertical="distributed"/>
    </xf>
    <xf numFmtId="0" fontId="0" fillId="0" borderId="10" xfId="0" applyBorder="1" applyAlignment="1">
      <alignment vertical="distributed"/>
    </xf>
    <xf numFmtId="14" fontId="0" fillId="0" borderId="9" xfId="0" applyNumberFormat="1" applyBorder="1" applyAlignment="1" applyProtection="1">
      <alignment vertical="distributed"/>
    </xf>
    <xf numFmtId="14" fontId="0" fillId="0" borderId="10" xfId="0" applyNumberFormat="1" applyBorder="1" applyAlignment="1" applyProtection="1">
      <alignment vertical="distributed"/>
    </xf>
  </cellXfs>
  <cellStyles count="6">
    <cellStyle name="Followed Hyperlink" xfId="3" builtinId="9" hidden="1"/>
    <cellStyle name="Followed Hyperlink" xfId="4" builtinId="9" hidden="1"/>
    <cellStyle name="Followed Hyperlink" xfId="5" builtinId="9" hidden="1"/>
    <cellStyle name="Hyperlink" xfId="2" builtinId="8"/>
    <cellStyle name="Normal" xfId="0" builtinId="0"/>
    <cellStyle name="Percent" xfId="1" builtinId="5"/>
  </cellStyles>
  <dxfs count="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4" Type="http://schemas.openxmlformats.org/officeDocument/2006/relationships/image" Target="../media/image4.png"/><Relationship Id="rId1" Type="http://schemas.openxmlformats.org/officeDocument/2006/relationships/image" Target="../media/image1.png"/><Relationship Id="rId2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466726</xdr:colOff>
      <xdr:row>0</xdr:row>
      <xdr:rowOff>127636</xdr:rowOff>
    </xdr:from>
    <xdr:to>
      <xdr:col>8</xdr:col>
      <xdr:colOff>593336</xdr:colOff>
      <xdr:row>0</xdr:row>
      <xdr:rowOff>767716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6B161764-22FF-4114-A6FF-5B21D2A4D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5151" y="127636"/>
          <a:ext cx="4717660" cy="640080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 editAs="oneCell">
    <xdr:from>
      <xdr:col>8</xdr:col>
      <xdr:colOff>279778</xdr:colOff>
      <xdr:row>70</xdr:row>
      <xdr:rowOff>20955</xdr:rowOff>
    </xdr:from>
    <xdr:to>
      <xdr:col>8</xdr:col>
      <xdr:colOff>664844</xdr:colOff>
      <xdr:row>72</xdr:row>
      <xdr:rowOff>137159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902F29FC-9C6B-4595-80FD-45F783ACF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6898" y="12700635"/>
          <a:ext cx="404116" cy="481964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 editAs="oneCell">
    <xdr:from>
      <xdr:col>2</xdr:col>
      <xdr:colOff>581025</xdr:colOff>
      <xdr:row>60</xdr:row>
      <xdr:rowOff>95250</xdr:rowOff>
    </xdr:from>
    <xdr:to>
      <xdr:col>5</xdr:col>
      <xdr:colOff>637032</xdr:colOff>
      <xdr:row>66</xdr:row>
      <xdr:rowOff>128397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B8D6614F-6562-4B53-ACE5-B74BB648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11811000"/>
          <a:ext cx="3104007" cy="1118997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 editAs="oneCell">
    <xdr:from>
      <xdr:col>1</xdr:col>
      <xdr:colOff>268222</xdr:colOff>
      <xdr:row>42</xdr:row>
      <xdr:rowOff>0</xdr:rowOff>
    </xdr:from>
    <xdr:to>
      <xdr:col>6</xdr:col>
      <xdr:colOff>761999</xdr:colOff>
      <xdr:row>56</xdr:row>
      <xdr:rowOff>52654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B5E9EB6B-7F15-4971-85C8-63DBDEFC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922" y="8420100"/>
          <a:ext cx="4627627" cy="2605354"/>
        </a:xfrm>
        <a:prstGeom prst="rect">
          <a:avLst/>
        </a:prstGeom>
        <a:solidFill>
          <a:schemeClr val="accent2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254000</xdr:colOff>
          <xdr:row>16</xdr:row>
          <xdr:rowOff>38100</xdr:rowOff>
        </xdr:from>
        <xdr:to>
          <xdr:col>3</xdr:col>
          <xdr:colOff>1714500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Get items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304801</xdr:colOff>
      <xdr:row>0</xdr:row>
      <xdr:rowOff>137161</xdr:rowOff>
    </xdr:from>
    <xdr:to>
      <xdr:col>8</xdr:col>
      <xdr:colOff>522851</xdr:colOff>
      <xdr:row>0</xdr:row>
      <xdr:rowOff>777241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DBB7FED8-8461-4FA6-B660-B44852356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2241" y="137161"/>
          <a:ext cx="4866250" cy="6400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118111</xdr:colOff>
      <xdr:row>0</xdr:row>
      <xdr:rowOff>95251</xdr:rowOff>
    </xdr:from>
    <xdr:to>
      <xdr:col>8</xdr:col>
      <xdr:colOff>1502021</xdr:colOff>
      <xdr:row>0</xdr:row>
      <xdr:rowOff>735331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3F4E5F7B-2127-4B57-AE00-1709A99F5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1486" y="95251"/>
          <a:ext cx="4717660" cy="640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1.xml"/><Relationship Id="rId1" Type="http://schemas.openxmlformats.org/officeDocument/2006/relationships/hyperlink" Target="mailto:mbarry@wkmotorsnapier.co.nz" TargetMode="External"/><Relationship Id="rId2" Type="http://schemas.openxmlformats.org/officeDocument/2006/relationships/hyperlink" Target="mailto:ttester@xtra.co.nz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 tint="0.59999389629810485"/>
    <pageSetUpPr fitToPage="1"/>
  </sheetPr>
  <dimension ref="A1:P395"/>
  <sheetViews>
    <sheetView showGridLines="0" topLeftCell="A12" workbookViewId="0">
      <selection activeCell="B38" sqref="B38:C38"/>
    </sheetView>
  </sheetViews>
  <sheetFormatPr baseColWidth="10" defaultColWidth="8.83203125" defaultRowHeight="15" x14ac:dyDescent="0.2"/>
  <cols>
    <col min="1" max="1" width="26.1640625" style="71" customWidth="1"/>
    <col min="2" max="2" width="6" style="71" customWidth="1"/>
    <col min="3" max="3" width="13.5" style="71" customWidth="1"/>
    <col min="4" max="4" width="23.33203125" style="71" bestFit="1" customWidth="1"/>
    <col min="5" max="5" width="7.6640625" style="71" customWidth="1"/>
    <col min="6" max="6" width="9.83203125" style="71" customWidth="1"/>
    <col min="7" max="7" width="23.33203125" style="71" bestFit="1" customWidth="1"/>
    <col min="8" max="8" width="4.6640625" style="71" customWidth="1"/>
    <col min="9" max="9" width="10" style="71" customWidth="1"/>
    <col min="10" max="10" width="10" style="71" bestFit="1" customWidth="1"/>
    <col min="11" max="11" width="10.6640625" style="71" bestFit="1" customWidth="1"/>
    <col min="12" max="16384" width="8.83203125" style="71"/>
  </cols>
  <sheetData>
    <row r="1" spans="1:16" ht="74" customHeight="1" x14ac:dyDescent="0.45">
      <c r="A1" s="145" t="s">
        <v>0</v>
      </c>
      <c r="B1" s="146"/>
      <c r="C1" s="146"/>
      <c r="D1" s="67"/>
      <c r="E1" s="68"/>
      <c r="F1" s="68"/>
      <c r="G1" s="68"/>
      <c r="H1" s="69"/>
      <c r="I1" s="69"/>
      <c r="J1" s="70"/>
      <c r="K1" s="70"/>
      <c r="L1" s="70"/>
      <c r="M1" s="70"/>
    </row>
    <row r="2" spans="1:16" x14ac:dyDescent="0.2">
      <c r="A2" s="72" t="s">
        <v>90</v>
      </c>
      <c r="B2" s="156">
        <v>43177</v>
      </c>
      <c r="C2" s="155"/>
      <c r="D2" s="73"/>
    </row>
    <row r="3" spans="1:16" x14ac:dyDescent="0.2">
      <c r="A3" s="74" t="s">
        <v>1</v>
      </c>
      <c r="B3" s="151" t="s">
        <v>120</v>
      </c>
      <c r="C3" s="152"/>
      <c r="D3" s="152"/>
      <c r="E3" s="152"/>
      <c r="F3" s="152"/>
      <c r="G3" s="152"/>
      <c r="H3" s="152"/>
      <c r="I3" s="152"/>
    </row>
    <row r="4" spans="1:16" x14ac:dyDescent="0.2">
      <c r="A4" s="74" t="s">
        <v>2</v>
      </c>
      <c r="B4" s="151" t="s">
        <v>121</v>
      </c>
      <c r="C4" s="152"/>
      <c r="D4" s="152"/>
      <c r="E4" s="152"/>
      <c r="F4" s="152"/>
      <c r="G4" s="152"/>
      <c r="H4" s="152"/>
      <c r="I4" s="152"/>
    </row>
    <row r="5" spans="1:16" x14ac:dyDescent="0.2">
      <c r="A5" s="74" t="s">
        <v>3</v>
      </c>
      <c r="B5" s="153" t="s">
        <v>122</v>
      </c>
      <c r="C5" s="152"/>
      <c r="D5" s="152"/>
      <c r="E5" s="152"/>
      <c r="F5" s="152"/>
      <c r="G5" s="152"/>
      <c r="H5" s="152"/>
      <c r="I5" s="152"/>
    </row>
    <row r="6" spans="1:16" x14ac:dyDescent="0.2">
      <c r="A6" s="74" t="s">
        <v>4</v>
      </c>
      <c r="B6" s="147" t="s">
        <v>123</v>
      </c>
      <c r="C6" s="148"/>
      <c r="D6" s="75" t="s">
        <v>5</v>
      </c>
      <c r="E6" s="148"/>
      <c r="F6" s="148"/>
      <c r="G6" s="75" t="s">
        <v>6</v>
      </c>
      <c r="H6" s="148"/>
      <c r="I6" s="148"/>
    </row>
    <row r="7" spans="1:16" x14ac:dyDescent="0.2">
      <c r="B7" s="76"/>
      <c r="C7" s="76"/>
    </row>
    <row r="8" spans="1:16" x14ac:dyDescent="0.2">
      <c r="A8" s="74" t="s">
        <v>79</v>
      </c>
      <c r="B8" s="154">
        <v>785899</v>
      </c>
      <c r="C8" s="155"/>
      <c r="D8" s="77"/>
      <c r="E8" s="78"/>
      <c r="F8" s="78"/>
      <c r="G8" s="79"/>
      <c r="H8" s="149" t="s">
        <v>7</v>
      </c>
      <c r="I8" s="150"/>
      <c r="K8" s="80"/>
      <c r="L8" s="80"/>
      <c r="M8" s="80"/>
      <c r="N8" s="80"/>
      <c r="O8" s="80"/>
      <c r="P8" s="80"/>
    </row>
    <row r="9" spans="1:16" x14ac:dyDescent="0.2">
      <c r="A9" s="74" t="s">
        <v>93</v>
      </c>
      <c r="B9" s="154" t="s">
        <v>124</v>
      </c>
      <c r="C9" s="155"/>
      <c r="D9" s="77"/>
      <c r="E9" s="78"/>
      <c r="F9" s="81" t="s">
        <v>8</v>
      </c>
      <c r="G9" s="125" t="s">
        <v>125</v>
      </c>
      <c r="H9" s="137">
        <v>51990</v>
      </c>
      <c r="I9" s="138"/>
      <c r="J9" s="83"/>
      <c r="K9" s="84"/>
      <c r="L9" s="80"/>
      <c r="M9" s="80"/>
      <c r="N9" s="80"/>
      <c r="O9" s="80"/>
      <c r="P9" s="80"/>
    </row>
    <row r="10" spans="1:16" x14ac:dyDescent="0.2">
      <c r="B10" s="76"/>
      <c r="C10" s="76"/>
      <c r="D10" s="77"/>
      <c r="E10" s="78"/>
      <c r="F10" s="81" t="s">
        <v>9</v>
      </c>
      <c r="G10" s="85"/>
      <c r="H10" s="137">
        <v>-13990</v>
      </c>
      <c r="I10" s="138"/>
      <c r="K10" s="84"/>
      <c r="L10" s="80"/>
      <c r="M10" s="80"/>
      <c r="N10" s="80"/>
      <c r="O10" s="80"/>
      <c r="P10" s="80"/>
    </row>
    <row r="11" spans="1:16" x14ac:dyDescent="0.2">
      <c r="A11" s="86" t="s">
        <v>85</v>
      </c>
      <c r="B11" s="154"/>
      <c r="C11" s="155"/>
      <c r="D11" s="78"/>
      <c r="F11" s="81" t="s">
        <v>80</v>
      </c>
      <c r="G11" s="85"/>
      <c r="H11" s="137">
        <v>600</v>
      </c>
      <c r="I11" s="138"/>
      <c r="K11" s="84"/>
      <c r="L11" s="87"/>
      <c r="M11" s="88"/>
      <c r="N11" s="142"/>
      <c r="O11" s="142"/>
      <c r="P11" s="80"/>
    </row>
    <row r="12" spans="1:16" x14ac:dyDescent="0.2">
      <c r="A12" s="86" t="s">
        <v>86</v>
      </c>
      <c r="B12" s="155"/>
      <c r="C12" s="155"/>
      <c r="F12" s="81" t="s">
        <v>81</v>
      </c>
      <c r="G12" s="85" t="s">
        <v>82</v>
      </c>
      <c r="H12" s="143">
        <f>IF(G12=parameters!E12,395,0)</f>
        <v>395</v>
      </c>
      <c r="I12" s="144"/>
      <c r="K12" s="84"/>
      <c r="L12" s="80"/>
      <c r="M12" s="89"/>
      <c r="N12" s="80"/>
      <c r="O12" s="80"/>
      <c r="P12" s="80"/>
    </row>
    <row r="13" spans="1:16" x14ac:dyDescent="0.2">
      <c r="A13" s="86" t="s">
        <v>87</v>
      </c>
      <c r="B13" s="156"/>
      <c r="C13" s="155"/>
      <c r="D13" s="78"/>
      <c r="E13" s="78"/>
      <c r="F13" s="87" t="s">
        <v>101</v>
      </c>
      <c r="G13" s="85"/>
      <c r="H13" s="160">
        <f>SUM(H9:I12)</f>
        <v>38995</v>
      </c>
      <c r="I13" s="161"/>
      <c r="J13" s="83"/>
      <c r="K13" s="84"/>
      <c r="L13" s="80"/>
      <c r="M13" s="80"/>
      <c r="N13" s="80"/>
      <c r="O13" s="80"/>
      <c r="P13" s="80"/>
    </row>
    <row r="14" spans="1:16" x14ac:dyDescent="0.2">
      <c r="D14" s="78"/>
      <c r="E14" s="78"/>
      <c r="F14" s="81" t="s">
        <v>10</v>
      </c>
      <c r="G14" s="125"/>
      <c r="H14" s="137"/>
      <c r="I14" s="138"/>
      <c r="J14" s="83"/>
      <c r="K14" s="84"/>
      <c r="L14" s="80"/>
      <c r="M14" s="80"/>
      <c r="N14" s="80"/>
      <c r="O14" s="80"/>
      <c r="P14" s="80"/>
    </row>
    <row r="15" spans="1:16" x14ac:dyDescent="0.2">
      <c r="A15" s="78"/>
      <c r="B15" s="78"/>
      <c r="C15" s="78"/>
      <c r="D15" s="78"/>
      <c r="E15" s="78"/>
      <c r="F15" s="81" t="s">
        <v>10</v>
      </c>
      <c r="G15" s="82"/>
      <c r="H15" s="137"/>
      <c r="I15" s="138"/>
      <c r="J15" s="83"/>
      <c r="K15" s="83"/>
    </row>
    <row r="16" spans="1:16" x14ac:dyDescent="0.2">
      <c r="A16" s="78"/>
      <c r="B16" s="78"/>
      <c r="C16" s="78"/>
      <c r="D16" s="78"/>
      <c r="E16" s="78"/>
      <c r="F16" s="81" t="s">
        <v>10</v>
      </c>
      <c r="G16" s="82"/>
      <c r="H16" s="137"/>
      <c r="I16" s="138"/>
      <c r="J16" s="83"/>
      <c r="K16" s="83"/>
    </row>
    <row r="17" spans="1:13" ht="16" thickBot="1" x14ac:dyDescent="0.25">
      <c r="A17" s="78" t="s">
        <v>12</v>
      </c>
      <c r="B17" s="157" t="s">
        <v>34</v>
      </c>
      <c r="C17" s="158"/>
      <c r="E17" s="90"/>
      <c r="F17" s="90"/>
      <c r="G17" s="91" t="s">
        <v>11</v>
      </c>
      <c r="H17" s="139">
        <f>SUM(H13:I16)</f>
        <v>38995</v>
      </c>
      <c r="I17" s="140"/>
    </row>
    <row r="18" spans="1:13" ht="16" thickTop="1" x14ac:dyDescent="0.2">
      <c r="A18" s="92" t="s">
        <v>14</v>
      </c>
      <c r="B18" s="78"/>
      <c r="C18" s="78"/>
      <c r="D18" s="78"/>
      <c r="E18" s="78"/>
      <c r="F18" s="78"/>
      <c r="G18" s="78"/>
      <c r="H18" s="78"/>
      <c r="I18" s="78"/>
    </row>
    <row r="19" spans="1:13" x14ac:dyDescent="0.2">
      <c r="A19" s="92"/>
      <c r="B19" s="78"/>
      <c r="C19" s="78"/>
      <c r="D19" s="78"/>
      <c r="E19" s="78"/>
      <c r="F19" s="78"/>
      <c r="G19" s="78"/>
      <c r="H19" s="78"/>
      <c r="I19" s="78"/>
    </row>
    <row r="20" spans="1:13" x14ac:dyDescent="0.2">
      <c r="A20" s="85" t="str">
        <f>IF($B$17=parameters!$E$2,parameters!A3,parameters!A11)</f>
        <v>Bonnet Protector (p)</v>
      </c>
      <c r="B20" s="135"/>
      <c r="C20" s="141"/>
      <c r="D20" s="85" t="str">
        <f>IF($B$17=parameters!$E$2,parameters!B3,parameters!B11)</f>
        <v>Mats (rubber or carpet) (p)</v>
      </c>
      <c r="E20" s="135"/>
      <c r="F20" s="136"/>
      <c r="G20" s="85" t="str">
        <f>IF($B$17=parameters!$E$2,parameters!C3,parameters!C11)</f>
        <v>Reversing Camera (p)</v>
      </c>
      <c r="H20" s="135"/>
      <c r="I20" s="136"/>
    </row>
    <row r="21" spans="1:13" x14ac:dyDescent="0.2">
      <c r="A21" s="85" t="str">
        <f>IF($B$17=parameters!$E$2,parameters!A4,parameters!A12)</f>
        <v>Cargo Liner (p)</v>
      </c>
      <c r="B21" s="135">
        <v>210</v>
      </c>
      <c r="C21" s="141"/>
      <c r="D21" s="85" t="str">
        <f>IF($B$17=parameters!$E$2,parameters!B4,parameters!B12)</f>
        <v>Mud Flaps (p)</v>
      </c>
      <c r="E21" s="135"/>
      <c r="F21" s="136"/>
      <c r="G21" s="85" t="str">
        <f>IF($B$17=parameters!$E$2,parameters!C4,parameters!C12)</f>
        <v>Roof Racks (p)</v>
      </c>
      <c r="H21" s="135">
        <v>650</v>
      </c>
      <c r="I21" s="136"/>
    </row>
    <row r="22" spans="1:13" x14ac:dyDescent="0.2">
      <c r="A22" s="85" t="str">
        <f>IF($B$17=parameters!$E$2,parameters!A5,parameters!A13)</f>
        <v>Fab Protection (p)</v>
      </c>
      <c r="B22" s="135">
        <v>3200</v>
      </c>
      <c r="C22" s="141"/>
      <c r="D22" s="85" t="str">
        <f>IF($B$17=parameters!$E$2,parameters!B5,parameters!B13)</f>
        <v>Paint Protection (p)</v>
      </c>
      <c r="E22" s="135"/>
      <c r="F22" s="136"/>
      <c r="G22" s="85" t="str">
        <f>IF($B$17=parameters!$E$2,parameters!C5,parameters!C13)</f>
        <v>Seat Covers (p)</v>
      </c>
      <c r="H22" s="135"/>
      <c r="I22" s="136"/>
    </row>
    <row r="23" spans="1:13" x14ac:dyDescent="0.2">
      <c r="A23" s="85" t="str">
        <f>IF($B$17=parameters!$E$2,parameters!A6,parameters!A14)</f>
        <v>Fire Extinguisher (p)</v>
      </c>
      <c r="B23" s="135">
        <v>800</v>
      </c>
      <c r="C23" s="141"/>
      <c r="D23" s="85" t="str">
        <f>IF($B$17=parameters!$E$2,parameters!B6,parameters!B14)</f>
        <v>Parking Sensors (p)</v>
      </c>
      <c r="E23" s="135">
        <v>1</v>
      </c>
      <c r="F23" s="136"/>
      <c r="G23" s="85" t="str">
        <f>IF($B$17=parameters!$E$2,parameters!C6,parameters!C14)</f>
        <v>Tow Bar (p)</v>
      </c>
      <c r="H23" s="135">
        <v>1190</v>
      </c>
      <c r="I23" s="136"/>
    </row>
    <row r="24" spans="1:13" x14ac:dyDescent="0.2">
      <c r="A24" s="85" t="str">
        <f>IF($B$17=parameters!$E$2,parameters!A7,parameters!A15)</f>
        <v>Fog Lamps (p)</v>
      </c>
      <c r="B24" s="135"/>
      <c r="C24" s="141"/>
      <c r="D24" s="85" t="str">
        <f>IF($B$17=parameters!$E$2,parameters!B7,parameters!B15)</f>
        <v>Rear bumper scuff plate (p)</v>
      </c>
      <c r="E24" s="135">
        <v>1190</v>
      </c>
      <c r="F24" s="136"/>
      <c r="G24" s="85" t="str">
        <f>IF($B$17=parameters!$E$2,parameters!C7,parameters!C15)</f>
        <v>Weather Shields (p)</v>
      </c>
      <c r="H24" s="135"/>
      <c r="I24" s="136"/>
    </row>
    <row r="25" spans="1:13" x14ac:dyDescent="0.2">
      <c r="A25" s="93">
        <f>IF($B$17=parameters!$E$2,parameters!A8,parameters!A16)</f>
        <v>0</v>
      </c>
      <c r="B25" s="135"/>
      <c r="C25" s="141"/>
      <c r="D25" s="93">
        <f>IF($B$17=parameters!$E$2,parameters!B8,parameters!B16)</f>
        <v>0</v>
      </c>
      <c r="E25" s="135">
        <v>595</v>
      </c>
      <c r="F25" s="136"/>
      <c r="G25" s="93">
        <f>IF($B$17=parameters!$E$2,parameters!C8,parameters!C16)</f>
        <v>0</v>
      </c>
      <c r="H25" s="135"/>
      <c r="I25" s="136"/>
    </row>
    <row r="26" spans="1:13" x14ac:dyDescent="0.2">
      <c r="A26" s="93">
        <f>IF($B$17=parameters!$E$2,parameters!A9,parameters!A17)</f>
        <v>0</v>
      </c>
      <c r="B26" s="135"/>
      <c r="C26" s="141"/>
      <c r="D26" s="93">
        <f>IF($B$17=parameters!$E$2,parameters!B9,parameters!B17)</f>
        <v>0</v>
      </c>
      <c r="E26" s="135"/>
      <c r="F26" s="136"/>
      <c r="G26" s="93">
        <f>IF($B$17=parameters!$E$2,parameters!C9,parameters!C17)</f>
        <v>0</v>
      </c>
      <c r="H26" s="135"/>
      <c r="I26" s="136"/>
    </row>
    <row r="27" spans="1:13" x14ac:dyDescent="0.2">
      <c r="A27" s="93" t="str">
        <f>IF($B$17=parameters!$E$2,parameters!A10,parameters!A18)</f>
        <v>Commercial</v>
      </c>
      <c r="B27" s="135"/>
      <c r="C27" s="141"/>
      <c r="D27" s="93">
        <f>IF($B$17=parameters!$E$2,parameters!B10,parameters!B18)</f>
        <v>0</v>
      </c>
      <c r="E27" s="135"/>
      <c r="F27" s="136"/>
      <c r="G27" s="94"/>
      <c r="H27" s="135"/>
      <c r="I27" s="136"/>
    </row>
    <row r="28" spans="1:13" x14ac:dyDescent="0.2">
      <c r="A28" s="95"/>
      <c r="B28" s="135"/>
      <c r="C28" s="136"/>
      <c r="D28" s="95"/>
      <c r="E28" s="135"/>
      <c r="F28" s="136"/>
      <c r="G28" s="94"/>
      <c r="H28" s="135"/>
      <c r="I28" s="136"/>
    </row>
    <row r="29" spans="1:13" x14ac:dyDescent="0.2">
      <c r="A29" s="95"/>
      <c r="B29" s="135"/>
      <c r="C29" s="136"/>
      <c r="D29" s="95"/>
      <c r="E29" s="135"/>
      <c r="F29" s="136"/>
      <c r="G29" s="94"/>
      <c r="H29" s="135"/>
      <c r="I29" s="136"/>
      <c r="K29" s="96"/>
      <c r="L29" s="96"/>
      <c r="M29" s="96"/>
    </row>
    <row r="30" spans="1:13" x14ac:dyDescent="0.2">
      <c r="A30" s="78"/>
      <c r="B30" s="78"/>
      <c r="C30" s="78"/>
      <c r="D30" s="78"/>
      <c r="E30" s="78"/>
      <c r="F30" s="97"/>
      <c r="G30" s="78"/>
      <c r="H30" s="78"/>
      <c r="I30" s="78"/>
      <c r="K30" s="96"/>
      <c r="L30" s="96"/>
      <c r="M30" s="96"/>
    </row>
    <row r="31" spans="1:13" x14ac:dyDescent="0.2">
      <c r="A31" s="78" t="s">
        <v>95</v>
      </c>
      <c r="B31" s="167" t="s">
        <v>82</v>
      </c>
      <c r="C31" s="168"/>
      <c r="D31" s="162"/>
      <c r="E31" s="162"/>
      <c r="F31" s="162"/>
      <c r="G31" s="98" t="s">
        <v>15</v>
      </c>
      <c r="H31" s="78"/>
      <c r="I31" s="97">
        <f>SUM(B20:C29)+SUM(E20:F29)+SUM(H20:I29)</f>
        <v>7836</v>
      </c>
      <c r="K31" s="96"/>
      <c r="L31" s="96"/>
      <c r="M31" s="96"/>
    </row>
    <row r="32" spans="1:13" x14ac:dyDescent="0.2">
      <c r="A32" s="78" t="s">
        <v>96</v>
      </c>
      <c r="B32" s="167" t="s">
        <v>83</v>
      </c>
      <c r="C32" s="168"/>
      <c r="D32" s="90"/>
      <c r="E32" s="90"/>
      <c r="F32" s="90"/>
      <c r="G32" s="78"/>
      <c r="H32" s="78"/>
      <c r="I32" s="97"/>
      <c r="K32" s="96"/>
      <c r="L32" s="96"/>
      <c r="M32" s="96"/>
    </row>
    <row r="33" spans="1:13" ht="14.5" customHeight="1" x14ac:dyDescent="0.2">
      <c r="A33" s="78" t="s">
        <v>94</v>
      </c>
      <c r="B33" s="170">
        <f>IF(B31=parameters!E13,"",IF(AND(B32=parameters!E13,B31=parameters!E12),(H35/23*3)-(H14/23*3)-(H15/23*3)-(H16/23*3),H35/23*3))</f>
        <v>6108.391304347826</v>
      </c>
      <c r="C33" s="170"/>
      <c r="D33" s="162"/>
      <c r="E33" s="162"/>
      <c r="F33" s="162"/>
      <c r="G33" s="78"/>
      <c r="H33" s="78"/>
      <c r="I33" s="78"/>
      <c r="K33" s="96"/>
      <c r="L33" s="99"/>
      <c r="M33" s="96"/>
    </row>
    <row r="34" spans="1:13" x14ac:dyDescent="0.2">
      <c r="A34" s="78"/>
      <c r="B34" s="78"/>
      <c r="C34" s="78"/>
      <c r="D34" s="165"/>
      <c r="E34" s="166"/>
    </row>
    <row r="35" spans="1:13" ht="16" thickBot="1" x14ac:dyDescent="0.25">
      <c r="A35" s="86" t="str">
        <f>IF(B31=parameters!E13,"","SALE PRICE excl GST")</f>
        <v>SALE PRICE excl GST</v>
      </c>
      <c r="B35" s="163">
        <f>IF(B31=parameters!E12,H35-B33,"")</f>
        <v>40722.608695652176</v>
      </c>
      <c r="C35" s="164"/>
      <c r="D35" s="162"/>
      <c r="E35" s="162"/>
      <c r="F35" s="162"/>
      <c r="G35" s="98" t="s">
        <v>16</v>
      </c>
      <c r="H35" s="139">
        <f>H17+I31</f>
        <v>46831</v>
      </c>
      <c r="I35" s="169"/>
    </row>
    <row r="36" spans="1:13" ht="16" thickTop="1" x14ac:dyDescent="0.2">
      <c r="D36" s="90"/>
      <c r="E36" s="90"/>
      <c r="F36" s="90"/>
      <c r="G36" s="78"/>
      <c r="H36" s="100"/>
      <c r="I36" s="101"/>
    </row>
    <row r="37" spans="1:13" x14ac:dyDescent="0.2">
      <c r="A37" s="91" t="s">
        <v>99</v>
      </c>
      <c r="B37" s="159">
        <f>H13+I31</f>
        <v>46831</v>
      </c>
      <c r="C37" s="159"/>
      <c r="D37" s="71" t="s">
        <v>102</v>
      </c>
      <c r="E37" s="90"/>
      <c r="F37" s="90"/>
      <c r="G37" s="78"/>
      <c r="H37" s="100"/>
      <c r="I37" s="101"/>
    </row>
    <row r="38" spans="1:13" x14ac:dyDescent="0.2">
      <c r="A38" s="102" t="s">
        <v>100</v>
      </c>
      <c r="B38" s="159">
        <f>IF(B31=parameters!E12,(-B37/23*3),"")</f>
        <v>-6108.391304347826</v>
      </c>
      <c r="C38" s="159"/>
      <c r="E38" s="90"/>
      <c r="F38" s="90"/>
      <c r="G38" s="78"/>
      <c r="H38" s="100"/>
      <c r="I38" s="101"/>
    </row>
    <row r="39" spans="1:13" ht="16" thickBot="1" x14ac:dyDescent="0.25">
      <c r="A39" s="91" t="s">
        <v>99</v>
      </c>
      <c r="B39" s="163">
        <f>IFERROR(B37+B38,"")</f>
        <v>40722.608695652176</v>
      </c>
      <c r="C39" s="164"/>
      <c r="D39" s="71" t="s">
        <v>103</v>
      </c>
      <c r="E39" s="90"/>
      <c r="F39" s="90"/>
      <c r="K39" s="83"/>
    </row>
    <row r="40" spans="1:13" ht="16" thickTop="1" x14ac:dyDescent="0.2">
      <c r="A40" s="78"/>
      <c r="B40" s="78"/>
      <c r="C40" s="78"/>
      <c r="D40" s="78"/>
      <c r="E40" s="78"/>
      <c r="F40" s="78"/>
    </row>
    <row r="41" spans="1:13" x14ac:dyDescent="0.2">
      <c r="A41" s="130" t="s">
        <v>119</v>
      </c>
      <c r="B41" s="130"/>
      <c r="C41" s="130"/>
      <c r="D41" s="130"/>
      <c r="E41" s="130"/>
      <c r="F41" s="78"/>
    </row>
    <row r="42" spans="1:13" ht="16" thickBot="1" x14ac:dyDescent="0.25">
      <c r="A42" s="78" t="s">
        <v>17</v>
      </c>
      <c r="B42" s="78"/>
      <c r="C42" s="78"/>
      <c r="D42" s="78"/>
      <c r="E42" s="78"/>
      <c r="F42" s="78"/>
      <c r="G42" s="78"/>
      <c r="H42" s="78"/>
      <c r="I42" s="78"/>
    </row>
    <row r="43" spans="1:13" x14ac:dyDescent="0.2">
      <c r="A43" s="103"/>
      <c r="B43" s="104"/>
      <c r="C43" s="104"/>
      <c r="D43" s="104"/>
      <c r="E43" s="104"/>
      <c r="F43" s="104"/>
      <c r="G43" s="104"/>
      <c r="H43" s="104"/>
      <c r="I43" s="105"/>
    </row>
    <row r="44" spans="1:13" x14ac:dyDescent="0.2">
      <c r="A44" s="106"/>
      <c r="B44" s="89"/>
      <c r="C44" s="89"/>
      <c r="D44" s="89"/>
      <c r="E44" s="89"/>
      <c r="F44" s="89"/>
      <c r="G44" s="89"/>
      <c r="H44" s="89"/>
      <c r="I44" s="107"/>
    </row>
    <row r="45" spans="1:13" x14ac:dyDescent="0.2">
      <c r="A45" s="106"/>
      <c r="B45" s="89"/>
      <c r="C45" s="89"/>
      <c r="D45" s="89"/>
      <c r="E45" s="89"/>
      <c r="F45" s="89"/>
      <c r="G45" s="89"/>
      <c r="H45" s="89"/>
      <c r="I45" s="107"/>
    </row>
    <row r="46" spans="1:13" x14ac:dyDescent="0.2">
      <c r="A46" s="106"/>
      <c r="B46" s="89"/>
      <c r="C46" s="89"/>
      <c r="D46" s="89"/>
      <c r="E46" s="89"/>
      <c r="F46" s="89"/>
      <c r="G46" s="89"/>
      <c r="H46" s="89"/>
      <c r="I46" s="107"/>
    </row>
    <row r="47" spans="1:13" x14ac:dyDescent="0.2">
      <c r="A47" s="106"/>
      <c r="B47" s="89"/>
      <c r="C47" s="89"/>
      <c r="D47" s="89"/>
      <c r="E47" s="89"/>
      <c r="F47" s="89"/>
      <c r="G47" s="89"/>
      <c r="H47" s="89"/>
      <c r="I47" s="107"/>
    </row>
    <row r="48" spans="1:13" x14ac:dyDescent="0.2">
      <c r="A48" s="106"/>
      <c r="B48" s="89"/>
      <c r="C48" s="89"/>
      <c r="D48" s="89"/>
      <c r="E48" s="89"/>
      <c r="F48" s="89"/>
      <c r="G48" s="89"/>
      <c r="H48" s="89"/>
      <c r="I48" s="107"/>
    </row>
    <row r="49" spans="1:9" x14ac:dyDescent="0.2">
      <c r="A49" s="106"/>
      <c r="B49" s="89"/>
      <c r="C49" s="89"/>
      <c r="D49" s="89"/>
      <c r="E49" s="89"/>
      <c r="F49" s="89"/>
      <c r="G49" s="89"/>
      <c r="H49" s="89"/>
      <c r="I49" s="107"/>
    </row>
    <row r="50" spans="1:9" x14ac:dyDescent="0.2">
      <c r="A50" s="106"/>
      <c r="B50" s="89"/>
      <c r="C50" s="89"/>
      <c r="D50" s="89"/>
      <c r="E50" s="89"/>
      <c r="F50" s="89"/>
      <c r="G50" s="89"/>
      <c r="H50" s="89"/>
      <c r="I50" s="107"/>
    </row>
    <row r="51" spans="1:9" x14ac:dyDescent="0.2">
      <c r="A51" s="106"/>
      <c r="B51" s="89"/>
      <c r="C51" s="89"/>
      <c r="D51" s="89"/>
      <c r="E51" s="89"/>
      <c r="F51" s="89"/>
      <c r="G51" s="89"/>
      <c r="H51" s="89"/>
      <c r="I51" s="107"/>
    </row>
    <row r="52" spans="1:9" x14ac:dyDescent="0.2">
      <c r="A52" s="106"/>
      <c r="B52" s="89"/>
      <c r="C52" s="89"/>
      <c r="D52" s="89"/>
      <c r="E52" s="89"/>
      <c r="F52" s="89"/>
      <c r="G52" s="89"/>
      <c r="H52" s="89"/>
      <c r="I52" s="107"/>
    </row>
    <row r="53" spans="1:9" x14ac:dyDescent="0.2">
      <c r="A53" s="106"/>
      <c r="B53" s="89"/>
      <c r="C53" s="89"/>
      <c r="D53" s="89"/>
      <c r="E53" s="89"/>
      <c r="F53" s="89"/>
      <c r="G53" s="89"/>
      <c r="H53" s="89"/>
      <c r="I53" s="107"/>
    </row>
    <row r="54" spans="1:9" x14ac:dyDescent="0.2">
      <c r="A54" s="106"/>
      <c r="B54" s="89"/>
      <c r="C54" s="89"/>
      <c r="D54" s="89"/>
      <c r="E54" s="89"/>
      <c r="F54" s="89"/>
      <c r="G54" s="89"/>
      <c r="H54" s="89"/>
      <c r="I54" s="107"/>
    </row>
    <row r="55" spans="1:9" ht="16" thickBot="1" x14ac:dyDescent="0.25">
      <c r="A55" s="106"/>
      <c r="B55" s="89"/>
      <c r="C55" s="89"/>
      <c r="D55" s="89"/>
      <c r="E55" s="89"/>
      <c r="F55" s="89"/>
      <c r="G55" s="89"/>
      <c r="H55" s="89"/>
      <c r="I55" s="107"/>
    </row>
    <row r="56" spans="1:9" ht="16" thickBot="1" x14ac:dyDescent="0.25">
      <c r="A56" s="131" t="s">
        <v>104</v>
      </c>
      <c r="B56" s="132"/>
      <c r="C56" s="132"/>
      <c r="D56" s="132"/>
      <c r="E56" s="132"/>
      <c r="F56" s="132"/>
      <c r="G56" s="132"/>
      <c r="H56" s="132"/>
      <c r="I56" s="133"/>
    </row>
    <row r="57" spans="1:9" ht="16" thickBot="1" x14ac:dyDescent="0.25">
      <c r="A57" s="106" t="s">
        <v>105</v>
      </c>
      <c r="B57" s="89"/>
      <c r="C57" s="89"/>
      <c r="D57" s="89"/>
      <c r="E57" s="89"/>
      <c r="F57" s="89"/>
      <c r="G57" s="89"/>
      <c r="H57" s="89"/>
      <c r="I57" s="107"/>
    </row>
    <row r="58" spans="1:9" x14ac:dyDescent="0.2">
      <c r="A58" s="106" t="s">
        <v>106</v>
      </c>
      <c r="B58" s="89"/>
      <c r="C58" s="89"/>
      <c r="D58" s="89"/>
      <c r="F58" s="108"/>
      <c r="G58" s="109"/>
      <c r="H58" s="109"/>
      <c r="I58" s="110"/>
    </row>
    <row r="59" spans="1:9" ht="16" thickBot="1" x14ac:dyDescent="0.25">
      <c r="A59" s="111"/>
      <c r="B59" s="112"/>
      <c r="C59" s="112"/>
      <c r="D59" s="112" t="s">
        <v>107</v>
      </c>
      <c r="E59" s="112"/>
      <c r="F59" s="113"/>
      <c r="G59" s="114"/>
      <c r="H59" s="114"/>
      <c r="I59" s="119"/>
    </row>
    <row r="60" spans="1:9" ht="16" thickBot="1" x14ac:dyDescent="0.25">
      <c r="A60" s="78" t="s">
        <v>114</v>
      </c>
      <c r="B60" s="78"/>
      <c r="C60" s="78"/>
      <c r="D60" s="78"/>
      <c r="E60" s="129"/>
      <c r="F60" s="78"/>
      <c r="G60" s="77"/>
      <c r="H60" s="120" t="s">
        <v>116</v>
      </c>
      <c r="I60" s="123"/>
    </row>
    <row r="61" spans="1:9" x14ac:dyDescent="0.2">
      <c r="A61" s="78"/>
      <c r="B61" s="78"/>
      <c r="C61" s="78"/>
      <c r="D61" s="78"/>
      <c r="E61" s="78"/>
      <c r="F61" s="78"/>
      <c r="G61" s="117"/>
      <c r="H61" s="117" t="s">
        <v>117</v>
      </c>
      <c r="I61" s="122"/>
    </row>
    <row r="62" spans="1:9" x14ac:dyDescent="0.2">
      <c r="A62" s="78"/>
      <c r="B62" s="78"/>
      <c r="C62" s="78"/>
      <c r="D62" s="78"/>
      <c r="E62" s="78"/>
      <c r="F62" s="78"/>
      <c r="G62" s="81" t="s">
        <v>108</v>
      </c>
      <c r="H62" s="120" t="s">
        <v>118</v>
      </c>
      <c r="I62" s="124"/>
    </row>
    <row r="63" spans="1:9" x14ac:dyDescent="0.2">
      <c r="A63" s="78"/>
      <c r="B63" s="78"/>
      <c r="C63" s="78"/>
      <c r="D63" s="78"/>
      <c r="E63" s="78"/>
      <c r="F63" s="78"/>
      <c r="G63" s="81" t="s">
        <v>109</v>
      </c>
      <c r="H63" s="78"/>
      <c r="I63" s="78"/>
    </row>
    <row r="64" spans="1:9" x14ac:dyDescent="0.2">
      <c r="A64" s="78"/>
      <c r="B64" s="78"/>
      <c r="C64" s="78"/>
      <c r="D64" s="78"/>
      <c r="E64" s="78"/>
      <c r="F64" s="78"/>
      <c r="G64" s="81" t="s">
        <v>110</v>
      </c>
      <c r="H64" s="78"/>
      <c r="I64" s="78"/>
    </row>
    <row r="65" spans="1:11" x14ac:dyDescent="0.2">
      <c r="A65" s="78"/>
      <c r="B65" s="78"/>
      <c r="C65" s="78"/>
      <c r="D65" s="78"/>
      <c r="E65" s="78"/>
      <c r="F65" s="78"/>
      <c r="G65" s="115" t="s">
        <v>113</v>
      </c>
      <c r="H65" s="78"/>
      <c r="I65" s="78"/>
    </row>
    <row r="66" spans="1:11" x14ac:dyDescent="0.2">
      <c r="A66" s="78"/>
      <c r="B66" s="78"/>
      <c r="C66" s="78"/>
      <c r="D66" s="78"/>
      <c r="E66" s="78"/>
      <c r="F66" s="78"/>
      <c r="G66" s="78"/>
      <c r="H66" s="78"/>
      <c r="I66" s="78"/>
      <c r="K66" s="121"/>
    </row>
    <row r="67" spans="1:11" x14ac:dyDescent="0.2">
      <c r="A67" s="116"/>
      <c r="B67" s="116"/>
      <c r="C67" s="116"/>
      <c r="D67" s="78"/>
      <c r="E67" s="78"/>
      <c r="F67" s="78"/>
      <c r="G67" s="116"/>
      <c r="H67" s="116"/>
      <c r="I67" s="116"/>
    </row>
    <row r="68" spans="1:11" x14ac:dyDescent="0.2">
      <c r="A68" s="78" t="s">
        <v>18</v>
      </c>
      <c r="B68" s="78"/>
      <c r="C68" s="78"/>
      <c r="D68" s="78"/>
      <c r="E68" s="78"/>
      <c r="F68" s="78"/>
      <c r="G68" s="78" t="s">
        <v>19</v>
      </c>
      <c r="H68" s="78"/>
      <c r="I68" s="78"/>
    </row>
    <row r="69" spans="1:11" x14ac:dyDescent="0.2">
      <c r="A69" s="78"/>
      <c r="B69" s="78"/>
      <c r="C69" s="78"/>
      <c r="D69" s="78"/>
      <c r="E69" s="78"/>
      <c r="F69" s="78"/>
      <c r="G69" s="78"/>
      <c r="H69" s="78"/>
      <c r="I69" s="78"/>
    </row>
    <row r="70" spans="1:11" x14ac:dyDescent="0.2">
      <c r="A70" s="78" t="s">
        <v>20</v>
      </c>
      <c r="B70" s="78"/>
      <c r="C70" s="78"/>
      <c r="D70" s="78"/>
      <c r="E70" s="78"/>
      <c r="F70" s="78"/>
      <c r="G70" s="78" t="s">
        <v>20</v>
      </c>
      <c r="H70" s="78"/>
      <c r="I70" s="78"/>
    </row>
    <row r="71" spans="1:11" x14ac:dyDescent="0.2">
      <c r="A71" s="78" t="s">
        <v>21</v>
      </c>
      <c r="B71" s="78"/>
      <c r="C71" s="78"/>
      <c r="D71" s="78"/>
      <c r="E71" s="78"/>
      <c r="F71" s="78"/>
      <c r="G71" s="78" t="s">
        <v>21</v>
      </c>
      <c r="H71" s="78"/>
      <c r="I71" s="78"/>
    </row>
    <row r="73" spans="1:11" x14ac:dyDescent="0.2">
      <c r="A73" s="78" t="s">
        <v>112</v>
      </c>
    </row>
    <row r="74" spans="1:11" x14ac:dyDescent="0.2">
      <c r="A74" s="78" t="s">
        <v>111</v>
      </c>
      <c r="G74" s="117" t="s">
        <v>115</v>
      </c>
    </row>
    <row r="395" spans="5:5" x14ac:dyDescent="0.2">
      <c r="E395" s="134"/>
    </row>
  </sheetData>
  <sheetProtection selectLockedCells="1"/>
  <mergeCells count="67">
    <mergeCell ref="B38:C38"/>
    <mergeCell ref="B39:C39"/>
    <mergeCell ref="D34:E34"/>
    <mergeCell ref="H27:I27"/>
    <mergeCell ref="E27:F27"/>
    <mergeCell ref="B27:C27"/>
    <mergeCell ref="D33:F33"/>
    <mergeCell ref="B31:C31"/>
    <mergeCell ref="B29:C29"/>
    <mergeCell ref="E29:F29"/>
    <mergeCell ref="H29:I29"/>
    <mergeCell ref="B32:C32"/>
    <mergeCell ref="B35:C35"/>
    <mergeCell ref="D35:F35"/>
    <mergeCell ref="H35:I35"/>
    <mergeCell ref="B33:C33"/>
    <mergeCell ref="B37:C37"/>
    <mergeCell ref="H13:I13"/>
    <mergeCell ref="H20:I20"/>
    <mergeCell ref="H21:I21"/>
    <mergeCell ref="E23:F23"/>
    <mergeCell ref="B25:C25"/>
    <mergeCell ref="B23:C23"/>
    <mergeCell ref="B22:C22"/>
    <mergeCell ref="E20:F20"/>
    <mergeCell ref="E21:F21"/>
    <mergeCell ref="H15:I15"/>
    <mergeCell ref="H16:I16"/>
    <mergeCell ref="H22:I22"/>
    <mergeCell ref="H23:I23"/>
    <mergeCell ref="D31:F31"/>
    <mergeCell ref="H24:I24"/>
    <mergeCell ref="B11:C11"/>
    <mergeCell ref="B12:C12"/>
    <mergeCell ref="B13:C13"/>
    <mergeCell ref="B20:C20"/>
    <mergeCell ref="B21:C21"/>
    <mergeCell ref="B17:C17"/>
    <mergeCell ref="N11:O11"/>
    <mergeCell ref="H11:I11"/>
    <mergeCell ref="H12:I12"/>
    <mergeCell ref="A1:C1"/>
    <mergeCell ref="H9:I9"/>
    <mergeCell ref="H10:I10"/>
    <mergeCell ref="B6:C6"/>
    <mergeCell ref="E6:F6"/>
    <mergeCell ref="H8:I8"/>
    <mergeCell ref="B3:I3"/>
    <mergeCell ref="B4:I4"/>
    <mergeCell ref="B5:I5"/>
    <mergeCell ref="H6:I6"/>
    <mergeCell ref="B8:C8"/>
    <mergeCell ref="B9:C9"/>
    <mergeCell ref="B2:C2"/>
    <mergeCell ref="H25:I25"/>
    <mergeCell ref="H14:I14"/>
    <mergeCell ref="H17:I17"/>
    <mergeCell ref="E22:F22"/>
    <mergeCell ref="B26:C26"/>
    <mergeCell ref="B24:C24"/>
    <mergeCell ref="E24:F24"/>
    <mergeCell ref="E25:F25"/>
    <mergeCell ref="H28:I28"/>
    <mergeCell ref="B28:C28"/>
    <mergeCell ref="E28:F28"/>
    <mergeCell ref="H26:I26"/>
    <mergeCell ref="E26:F26"/>
  </mergeCells>
  <conditionalFormatting sqref="B3:E3">
    <cfRule type="containsBlanks" dxfId="74" priority="34">
      <formula>LEN(TRIM(B3))=0</formula>
    </cfRule>
  </conditionalFormatting>
  <conditionalFormatting sqref="G9">
    <cfRule type="containsBlanks" dxfId="73" priority="31">
      <formula>LEN(TRIM(G9))=0</formula>
    </cfRule>
  </conditionalFormatting>
  <conditionalFormatting sqref="B6">
    <cfRule type="containsBlanks" dxfId="72" priority="32">
      <formula>LEN(TRIM(B6))=0</formula>
    </cfRule>
  </conditionalFormatting>
  <conditionalFormatting sqref="B4:E4">
    <cfRule type="containsBlanks" dxfId="71" priority="26">
      <formula>LEN(TRIM(B4))=0</formula>
    </cfRule>
  </conditionalFormatting>
  <conditionalFormatting sqref="G14:G16">
    <cfRule type="containsBlanks" dxfId="70" priority="30">
      <formula>LEN(TRIM(G14))=0</formula>
    </cfRule>
  </conditionalFormatting>
  <conditionalFormatting sqref="H9:H10">
    <cfRule type="containsBlanks" dxfId="69" priority="29">
      <formula>LEN(TRIM(H9))=0</formula>
    </cfRule>
  </conditionalFormatting>
  <conditionalFormatting sqref="B5:E5">
    <cfRule type="containsBlanks" dxfId="68" priority="25">
      <formula>LEN(TRIM(B5))=0</formula>
    </cfRule>
  </conditionalFormatting>
  <conditionalFormatting sqref="B20:C26 E20:F26 H20:I26">
    <cfRule type="containsBlanks" dxfId="67" priority="23">
      <formula>LEN(TRIM(B20))=0</formula>
    </cfRule>
  </conditionalFormatting>
  <conditionalFormatting sqref="H12">
    <cfRule type="containsBlanks" dxfId="66" priority="19">
      <formula>LEN(TRIM(H12))=0</formula>
    </cfRule>
  </conditionalFormatting>
  <conditionalFormatting sqref="G12">
    <cfRule type="containsText" dxfId="65" priority="18" operator="containsText" text="Please Select">
      <formula>NOT(ISERROR(SEARCH("Please Select",G12)))</formula>
    </cfRule>
  </conditionalFormatting>
  <conditionalFormatting sqref="B11:B13">
    <cfRule type="containsBlanks" dxfId="64" priority="11">
      <formula>LEN(TRIM(B11))=0</formula>
    </cfRule>
  </conditionalFormatting>
  <conditionalFormatting sqref="B2">
    <cfRule type="containsBlanks" dxfId="63" priority="15">
      <formula>LEN(TRIM(B2))=0</formula>
    </cfRule>
  </conditionalFormatting>
  <conditionalFormatting sqref="E6">
    <cfRule type="containsBlanks" dxfId="62" priority="10">
      <formula>LEN(TRIM(E6))=0</formula>
    </cfRule>
  </conditionalFormatting>
  <conditionalFormatting sqref="B8">
    <cfRule type="containsBlanks" dxfId="61" priority="13">
      <formula>LEN(TRIM(B8))=0</formula>
    </cfRule>
  </conditionalFormatting>
  <conditionalFormatting sqref="B9">
    <cfRule type="containsBlanks" dxfId="60" priority="12">
      <formula>LEN(TRIM(B9))=0</formula>
    </cfRule>
  </conditionalFormatting>
  <conditionalFormatting sqref="H6">
    <cfRule type="containsBlanks" dxfId="59" priority="9">
      <formula>LEN(TRIM(H6))=0</formula>
    </cfRule>
  </conditionalFormatting>
  <conditionalFormatting sqref="H28:I29 E27:F29 B27:C29">
    <cfRule type="containsBlanks" dxfId="58" priority="8">
      <formula>LEN(TRIM(B27))=0</formula>
    </cfRule>
  </conditionalFormatting>
  <conditionalFormatting sqref="A28:A29 D28:D29 G27:G29">
    <cfRule type="containsBlanks" dxfId="57" priority="5">
      <formula>LEN(TRIM(A27))=0</formula>
    </cfRule>
    <cfRule type="notContainsBlanks" priority="7">
      <formula>LEN(TRIM(A27))&gt;0</formula>
    </cfRule>
  </conditionalFormatting>
  <conditionalFormatting sqref="H27:I27">
    <cfRule type="containsBlanks" dxfId="56" priority="6">
      <formula>LEN(TRIM(H27))=0</formula>
    </cfRule>
  </conditionalFormatting>
  <conditionalFormatting sqref="H14:H16">
    <cfRule type="containsBlanks" dxfId="55" priority="4">
      <formula>LEN(TRIM(H14))=0</formula>
    </cfRule>
  </conditionalFormatting>
  <conditionalFormatting sqref="H13">
    <cfRule type="containsBlanks" dxfId="54" priority="1">
      <formula>LEN(TRIM(H13))=0</formula>
    </cfRule>
  </conditionalFormatting>
  <conditionalFormatting sqref="H11">
    <cfRule type="containsBlanks" dxfId="53" priority="2">
      <formula>LEN(TRIM(H11))=0</formula>
    </cfRule>
  </conditionalFormatting>
  <dataValidations count="2">
    <dataValidation type="decimal" operator="lessThanOrEqual" allowBlank="1" showInputMessage="1" showErrorMessage="1" error="Amount needs to be a negative" sqref="H10:I10">
      <formula1>0</formula1>
    </dataValidation>
    <dataValidation type="decimal" operator="lessThanOrEqual" allowBlank="1" showInputMessage="1" showErrorMessage="1" error="number needs to be a negative" sqref="H14:I16">
      <formula1>0</formula1>
    </dataValidation>
  </dataValidations>
  <hyperlinks>
    <hyperlink ref="G65" r:id="rId1" display="mbarry@wkmotorsnapier.co.nz"/>
    <hyperlink ref="B5" r:id="rId2"/>
  </hyperlinks>
  <pageMargins left="0.7" right="0.7" top="0.75" bottom="0.75" header="0.3" footer="0.3"/>
  <pageSetup paperSize="9" scale="64" orientation="portrait" horizontalDpi="4294967292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autoFill="0" autoPict="0" macro="[0]!getExtras">
                <anchor moveWithCells="1" sizeWithCells="1">
                  <from>
                    <xdr:col>3</xdr:col>
                    <xdr:colOff>254000</xdr:colOff>
                    <xdr:row>16</xdr:row>
                    <xdr:rowOff>38100</xdr:rowOff>
                  </from>
                  <to>
                    <xdr:col>3</xdr:col>
                    <xdr:colOff>1714500</xdr:colOff>
                    <xdr:row>17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parameters!$E$2:$E$3</xm:f>
          </x14:formula1>
          <xm:sqref>B17</xm:sqref>
        </x14:dataValidation>
        <x14:dataValidation type="list" allowBlank="1" showInputMessage="1" showErrorMessage="1">
          <x14:formula1>
            <xm:f>parameters!$E$11:$E$13</xm:f>
          </x14:formula1>
          <xm:sqref>G12</xm:sqref>
        </x14:dataValidation>
        <x14:dataValidation type="list" allowBlank="1" showInputMessage="1" showErrorMessage="1">
          <x14:formula1>
            <xm:f>parameters!$E$12:$E$13</xm:f>
          </x14:formula1>
          <xm:sqref>B31:B32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5"/>
    <pageSetUpPr fitToPage="1"/>
  </sheetPr>
  <dimension ref="A1:N51"/>
  <sheetViews>
    <sheetView showGridLines="0" topLeftCell="A8" zoomScale="70" zoomScaleNormal="70" zoomScalePageLayoutView="70" workbookViewId="0">
      <selection activeCell="B19" sqref="B19:C19"/>
    </sheetView>
  </sheetViews>
  <sheetFormatPr baseColWidth="10" defaultColWidth="8.83203125" defaultRowHeight="15" x14ac:dyDescent="0.2"/>
  <cols>
    <col min="1" max="1" width="24.6640625" style="4" bestFit="1" customWidth="1"/>
    <col min="2" max="2" width="8.33203125" style="4" customWidth="1"/>
    <col min="3" max="3" width="16.1640625" style="4" customWidth="1"/>
    <col min="4" max="4" width="22" style="4" customWidth="1"/>
    <col min="5" max="5" width="7.6640625" style="4" customWidth="1"/>
    <col min="6" max="6" width="9.83203125" style="4" customWidth="1"/>
    <col min="7" max="7" width="23.33203125" style="4" customWidth="1"/>
    <col min="8" max="8" width="4.6640625" style="4" customWidth="1"/>
    <col min="9" max="9" width="10" style="4" customWidth="1"/>
    <col min="10" max="13" width="8.83203125" style="4"/>
    <col min="14" max="14" width="9.6640625" style="4" bestFit="1" customWidth="1"/>
    <col min="15" max="16384" width="8.83203125" style="4"/>
  </cols>
  <sheetData>
    <row r="1" spans="1:14" ht="74" customHeight="1" x14ac:dyDescent="0.45">
      <c r="A1" s="197" t="s">
        <v>22</v>
      </c>
      <c r="B1" s="198"/>
      <c r="C1" s="198"/>
      <c r="D1" s="35"/>
      <c r="E1" s="36"/>
      <c r="F1" s="36"/>
      <c r="G1" s="36"/>
      <c r="H1" s="37"/>
      <c r="I1" s="37"/>
      <c r="J1" s="3"/>
      <c r="K1" s="3"/>
      <c r="L1" s="3"/>
      <c r="M1" s="3"/>
    </row>
    <row r="2" spans="1:14" x14ac:dyDescent="0.2">
      <c r="A2" s="10"/>
      <c r="B2" s="32"/>
      <c r="C2" s="32"/>
      <c r="D2" s="5"/>
      <c r="J2" s="3"/>
      <c r="K2" s="3"/>
      <c r="L2" s="3"/>
      <c r="M2" s="3"/>
    </row>
    <row r="3" spans="1:14" x14ac:dyDescent="0.2">
      <c r="A3" s="10" t="s">
        <v>21</v>
      </c>
      <c r="B3" s="207">
        <f>IF(ISBLANK(Customer!B2)," ",(Customer!B2))</f>
        <v>43177</v>
      </c>
      <c r="C3" s="207"/>
      <c r="D3" s="5"/>
    </row>
    <row r="4" spans="1:14" x14ac:dyDescent="0.2">
      <c r="A4" s="10" t="s">
        <v>1</v>
      </c>
      <c r="B4" s="199" t="str">
        <f>IF(ISBLANK(Customer!B3)," ",(Customer!B3))</f>
        <v>MR TONY TESTER</v>
      </c>
      <c r="C4" s="200"/>
      <c r="D4" s="200"/>
      <c r="E4" s="200"/>
      <c r="F4" s="200"/>
      <c r="G4" s="200"/>
      <c r="H4" s="200"/>
      <c r="I4" s="201"/>
    </row>
    <row r="5" spans="1:14" x14ac:dyDescent="0.2">
      <c r="A5" s="10" t="s">
        <v>2</v>
      </c>
      <c r="B5" s="199" t="str">
        <f>IF(ISBLANK(Customer!B4)," ",(Customer!B4))</f>
        <v>231 TOP TOWN STREET HASTINGS</v>
      </c>
      <c r="C5" s="200"/>
      <c r="D5" s="200"/>
      <c r="E5" s="200"/>
      <c r="F5" s="200"/>
      <c r="G5" s="200"/>
      <c r="H5" s="200"/>
      <c r="I5" s="201"/>
    </row>
    <row r="6" spans="1:14" x14ac:dyDescent="0.2">
      <c r="A6" s="10" t="s">
        <v>3</v>
      </c>
      <c r="B6" s="199" t="str">
        <f>IF(ISBLANK(Customer!B5)," ",(Customer!B5))</f>
        <v>ttester@xtra.co.nz</v>
      </c>
      <c r="C6" s="200"/>
      <c r="D6" s="200"/>
      <c r="E6" s="200"/>
      <c r="F6" s="200"/>
      <c r="G6" s="200"/>
      <c r="H6" s="200"/>
      <c r="I6" s="201"/>
    </row>
    <row r="7" spans="1:14" x14ac:dyDescent="0.2">
      <c r="A7" s="10" t="s">
        <v>4</v>
      </c>
      <c r="B7" s="178" t="str">
        <f>IF(ISBLANK(Customer!B6)," ",(Customer!B6))</f>
        <v>00000000</v>
      </c>
      <c r="C7" s="178"/>
      <c r="D7" s="11" t="s">
        <v>5</v>
      </c>
      <c r="E7" s="202"/>
      <c r="F7" s="203"/>
      <c r="G7" s="11" t="s">
        <v>6</v>
      </c>
      <c r="H7" s="202" t="str">
        <f>IF(ISBLANK(Customer!H6)," ",(Customer!H6))</f>
        <v xml:space="preserve"> </v>
      </c>
      <c r="I7" s="203"/>
    </row>
    <row r="8" spans="1:14" x14ac:dyDescent="0.2">
      <c r="A8" s="20"/>
      <c r="B8" s="20"/>
      <c r="C8" s="20"/>
      <c r="D8" s="20"/>
      <c r="E8" s="20"/>
      <c r="F8" s="20"/>
      <c r="G8" s="20"/>
      <c r="H8" s="20"/>
      <c r="I8" s="20"/>
      <c r="M8" s="19"/>
    </row>
    <row r="9" spans="1:14" x14ac:dyDescent="0.2">
      <c r="A9" s="20"/>
      <c r="B9" s="34"/>
      <c r="C9" s="34"/>
      <c r="D9" s="20"/>
      <c r="E9" s="20"/>
      <c r="F9" s="20"/>
      <c r="G9" s="20"/>
      <c r="H9" s="20"/>
      <c r="I9" s="20"/>
      <c r="M9" s="19"/>
    </row>
    <row r="10" spans="1:14" x14ac:dyDescent="0.2">
      <c r="A10" s="33" t="s">
        <v>79</v>
      </c>
      <c r="B10" s="178">
        <f>IF(ISBLANK(Customer!B8)," ",(Customer!B8))</f>
        <v>785899</v>
      </c>
      <c r="C10" s="178"/>
      <c r="D10" s="20"/>
      <c r="E10" s="20"/>
      <c r="F10" s="20"/>
      <c r="G10" s="20"/>
      <c r="H10" s="20"/>
      <c r="I10" s="20"/>
    </row>
    <row r="11" spans="1:14" ht="16" x14ac:dyDescent="0.2">
      <c r="A11" s="20"/>
      <c r="B11" s="20"/>
      <c r="C11" s="20"/>
      <c r="D11" s="179" t="s">
        <v>23</v>
      </c>
      <c r="E11" s="180"/>
      <c r="F11" s="204" t="s">
        <v>24</v>
      </c>
      <c r="G11" s="205"/>
      <c r="H11" s="204" t="s">
        <v>25</v>
      </c>
      <c r="I11" s="205"/>
    </row>
    <row r="12" spans="1:14" ht="7.25" customHeight="1" x14ac:dyDescent="0.2">
      <c r="A12" s="20"/>
      <c r="B12" s="20"/>
      <c r="C12" s="20"/>
      <c r="D12" s="25"/>
      <c r="E12" s="26"/>
      <c r="F12" s="29"/>
      <c r="G12" s="30"/>
      <c r="H12" s="29"/>
      <c r="I12" s="30"/>
    </row>
    <row r="13" spans="1:14" x14ac:dyDescent="0.2">
      <c r="A13" s="10" t="s">
        <v>26</v>
      </c>
      <c r="B13" s="183" t="str">
        <f>IF(ISBLANK(Customer!G9)," ",(Customer!G9))</f>
        <v>TRITON GLXR MAN 4X4</v>
      </c>
      <c r="C13" s="183"/>
      <c r="D13" s="184">
        <f>SUM(Customer!H9:I10)</f>
        <v>38000</v>
      </c>
      <c r="E13" s="185"/>
      <c r="F13" s="186">
        <v>35500</v>
      </c>
      <c r="G13" s="187"/>
      <c r="H13" s="184">
        <f>D13-F13</f>
        <v>2500</v>
      </c>
      <c r="I13" s="185"/>
    </row>
    <row r="14" spans="1:14" x14ac:dyDescent="0.2">
      <c r="A14" s="20"/>
      <c r="B14" s="20"/>
      <c r="C14" s="20"/>
      <c r="D14" s="20"/>
      <c r="E14" s="20"/>
      <c r="F14" s="20"/>
      <c r="G14" s="20"/>
      <c r="H14" s="20"/>
      <c r="I14" s="20"/>
    </row>
    <row r="15" spans="1:14" x14ac:dyDescent="0.2">
      <c r="A15" s="10" t="s">
        <v>27</v>
      </c>
      <c r="B15" s="20"/>
      <c r="C15" s="20"/>
      <c r="D15" s="20"/>
      <c r="E15" s="20"/>
      <c r="F15" s="20"/>
      <c r="G15" s="20"/>
      <c r="H15" s="20"/>
      <c r="I15" s="20"/>
    </row>
    <row r="16" spans="1:14" x14ac:dyDescent="0.2">
      <c r="A16" s="20"/>
      <c r="B16" s="183" t="str">
        <f>IF(ISBLANK(Customer!A20)," ",(Customer!A20))</f>
        <v>Bonnet Protector (p)</v>
      </c>
      <c r="C16" s="183"/>
      <c r="D16" s="176" t="str">
        <f>IF(LEN(VLOOKUP(B16,Customer!$A$20:$C$26,2,0))=0,"",(VLOOKUP(B16,Customer!$A$20:$C$26,2,0)))</f>
        <v/>
      </c>
      <c r="E16" s="177"/>
      <c r="F16" s="176" t="str">
        <f>IF(D16=""," ",VLOOKUP(B16,'Cost of Extras'!$A:$B,2,0))</f>
        <v xml:space="preserve"> </v>
      </c>
      <c r="G16" s="177"/>
      <c r="H16" s="173" t="str">
        <f>IFERROR(IF(F16&lt;&gt;"",D16-F16,""),"")</f>
        <v/>
      </c>
      <c r="I16" s="173"/>
      <c r="N16" s="18"/>
    </row>
    <row r="17" spans="1:13" x14ac:dyDescent="0.2">
      <c r="A17" s="20"/>
      <c r="B17" s="183" t="str">
        <f>IF(ISBLANK(Customer!A21)," ",(Customer!A21))</f>
        <v>Cargo Liner (p)</v>
      </c>
      <c r="C17" s="183"/>
      <c r="D17" s="176">
        <f>IF(LEN(VLOOKUP(B17,Customer!$A$20:$C$26,2,0))=0,"",(VLOOKUP(B17,Customer!$A$20:$C$26,2,0)))</f>
        <v>210</v>
      </c>
      <c r="E17" s="177"/>
      <c r="F17" s="176">
        <f>IF(D17=""," ",VLOOKUP(B17,'Cost of Extras'!$A:$B,2,0))</f>
        <v>232.25</v>
      </c>
      <c r="G17" s="177"/>
      <c r="H17" s="173">
        <f t="shared" ref="H17:H37" si="0">IFERROR(IF(F17&lt;&gt;"",D17-F17,""),"")</f>
        <v>-22.25</v>
      </c>
      <c r="I17" s="173"/>
      <c r="K17" s="17"/>
    </row>
    <row r="18" spans="1:13" x14ac:dyDescent="0.2">
      <c r="A18" s="20"/>
      <c r="B18" s="183" t="str">
        <f>IF(ISBLANK(Customer!A22)," ",(Customer!A22))</f>
        <v>Fab Protection (p)</v>
      </c>
      <c r="C18" s="183"/>
      <c r="D18" s="176">
        <f>IF(LEN(VLOOKUP(B18,Customer!$A$20:$C$26,2,0))=0,"",(VLOOKUP(B18,Customer!$A$20:$C$26,2,0)))</f>
        <v>3200</v>
      </c>
      <c r="E18" s="177"/>
      <c r="F18" s="176">
        <f>IF(D18=""," ",VLOOKUP(B18,'Cost of Extras'!$A:$B,2,0))</f>
        <v>40</v>
      </c>
      <c r="G18" s="177"/>
      <c r="H18" s="173">
        <f t="shared" si="0"/>
        <v>3160</v>
      </c>
      <c r="I18" s="173"/>
      <c r="M18" s="16"/>
    </row>
    <row r="19" spans="1:13" x14ac:dyDescent="0.2">
      <c r="A19" s="20"/>
      <c r="B19" s="183" t="str">
        <f>IF(ISBLANK(Customer!A23)," ",(Customer!A23))</f>
        <v>Fire Extinguisher (p)</v>
      </c>
      <c r="C19" s="183"/>
      <c r="D19" s="176">
        <f>IF(LEN(VLOOKUP(B19,Customer!$A$20:$C$26,2,0))=0,"",(VLOOKUP(B19,Customer!$A$20:$C$26,2,0)))</f>
        <v>800</v>
      </c>
      <c r="E19" s="177"/>
      <c r="F19" s="176">
        <f>IF(D19=""," ",VLOOKUP(B19,'Cost of Extras'!$A:$B,2,0))</f>
        <v>49.15</v>
      </c>
      <c r="G19" s="177"/>
      <c r="H19" s="173">
        <f t="shared" si="0"/>
        <v>750.85</v>
      </c>
      <c r="I19" s="173"/>
    </row>
    <row r="20" spans="1:13" x14ac:dyDescent="0.2">
      <c r="A20" s="20"/>
      <c r="B20" s="183" t="str">
        <f>IF(ISBLANK(Customer!A24)," ",(Customer!A24))</f>
        <v>Fog Lamps (p)</v>
      </c>
      <c r="C20" s="183"/>
      <c r="D20" s="176" t="str">
        <f>IF(LEN(VLOOKUP(B20,Customer!$A$20:$C$26,2,0))=0,"",(VLOOKUP(B20,Customer!$A$20:$C$26,2,0)))</f>
        <v/>
      </c>
      <c r="E20" s="177"/>
      <c r="F20" s="176" t="str">
        <f>IF(D20=""," ",VLOOKUP(B20,'Cost of Extras'!$A:$B,2,0))</f>
        <v xml:space="preserve"> </v>
      </c>
      <c r="G20" s="177"/>
      <c r="H20" s="173" t="str">
        <f t="shared" si="0"/>
        <v/>
      </c>
      <c r="I20" s="173"/>
    </row>
    <row r="21" spans="1:13" x14ac:dyDescent="0.2">
      <c r="A21" s="20"/>
      <c r="B21" s="188">
        <f>IF(ISBLANK(Customer!A25)," ",(Customer!A25))</f>
        <v>0</v>
      </c>
      <c r="C21" s="188"/>
      <c r="D21" s="176" t="str">
        <f>IF(LEN(VLOOKUP(B21,Customer!$A$20:$C$26,2,0))=0,"",(VLOOKUP(B21,Customer!$A$20:$C$26,2,0)))</f>
        <v/>
      </c>
      <c r="E21" s="177"/>
      <c r="F21" s="176" t="str">
        <f>IF(D21=""," ",VLOOKUP(B21,'Cost of Extras'!$A:$B,2,0))</f>
        <v xml:space="preserve"> </v>
      </c>
      <c r="G21" s="177"/>
      <c r="H21" s="173" t="str">
        <f t="shared" si="0"/>
        <v/>
      </c>
      <c r="I21" s="173"/>
    </row>
    <row r="22" spans="1:13" x14ac:dyDescent="0.2">
      <c r="A22" s="20"/>
      <c r="B22" s="188">
        <f>IF(ISBLANK(Customer!A26)," ",Customer!A26)</f>
        <v>0</v>
      </c>
      <c r="C22" s="188"/>
      <c r="D22" s="176" t="str">
        <f>IF(LEN(VLOOKUP(B22,Customer!$A$20:$C$26,2,0))=0,"",(VLOOKUP(B22,Customer!$A$20:$C$26,2,0)))</f>
        <v/>
      </c>
      <c r="E22" s="177"/>
      <c r="F22" s="176" t="str">
        <f>IF(D22=""," ",VLOOKUP(B22,'Cost of Extras'!$A:$B,2,0))</f>
        <v xml:space="preserve"> </v>
      </c>
      <c r="G22" s="177"/>
      <c r="H22" s="173" t="str">
        <f t="shared" si="0"/>
        <v/>
      </c>
      <c r="I22" s="173"/>
    </row>
    <row r="23" spans="1:13" x14ac:dyDescent="0.2">
      <c r="A23" s="20"/>
      <c r="B23" s="188" t="str">
        <f>IF(ISBLANK(Customer!A27)," ",Customer!A27)</f>
        <v>Commercial</v>
      </c>
      <c r="C23" s="188"/>
      <c r="D23" s="176" t="str">
        <f>IF(LEN(VLOOKUP(B23,Customer!$A$20:$C$27,2,0))=0,"",(VLOOKUP(B23,Customer!$A$20:$C$27,2,0)))</f>
        <v/>
      </c>
      <c r="E23" s="177"/>
      <c r="F23" s="176" t="str">
        <f>IF(D23=""," ",VLOOKUP(B23,'Cost of Extras'!$A:$B,2,0))</f>
        <v xml:space="preserve"> </v>
      </c>
      <c r="G23" s="177"/>
      <c r="H23" s="173" t="str">
        <f t="shared" ref="H23" si="1">IFERROR(IF(F23&lt;&gt;"",D23-F23,""),"")</f>
        <v/>
      </c>
      <c r="I23" s="173"/>
    </row>
    <row r="24" spans="1:13" x14ac:dyDescent="0.2">
      <c r="A24" s="20"/>
      <c r="B24" s="183" t="str">
        <f>Customer!D20</f>
        <v>Mats (rubber or carpet) (p)</v>
      </c>
      <c r="C24" s="183"/>
      <c r="D24" s="181" t="str">
        <f>IF(LEN(VLOOKUP(B24,Customer!$D$20:$F$26,2,0))=0,"",VLOOKUP(B24,Customer!$D$20:$F$26,2,0))</f>
        <v/>
      </c>
      <c r="E24" s="182"/>
      <c r="F24" s="176" t="str">
        <f>IF(D24=""," ",VLOOKUP(B24,'Cost of Extras'!$A:$B,2,0))</f>
        <v xml:space="preserve"> </v>
      </c>
      <c r="G24" s="177"/>
      <c r="H24" s="173" t="str">
        <f t="shared" si="0"/>
        <v/>
      </c>
      <c r="I24" s="173"/>
    </row>
    <row r="25" spans="1:13" x14ac:dyDescent="0.2">
      <c r="A25" s="20"/>
      <c r="B25" s="183" t="str">
        <f>Customer!D21</f>
        <v>Mud Flaps (p)</v>
      </c>
      <c r="C25" s="183"/>
      <c r="D25" s="181" t="str">
        <f>IF(LEN(VLOOKUP(B25,Customer!$D$20:$F$26,2,0))=0,"",VLOOKUP(B25,Customer!$D$20:$F$26,2,0))</f>
        <v/>
      </c>
      <c r="E25" s="182"/>
      <c r="F25" s="176" t="str">
        <f>IF(D25=""," ",VLOOKUP(B25,'Cost of Extras'!$A:$B,2,0))</f>
        <v xml:space="preserve"> </v>
      </c>
      <c r="G25" s="177"/>
      <c r="H25" s="173" t="str">
        <f t="shared" si="0"/>
        <v/>
      </c>
      <c r="I25" s="173"/>
    </row>
    <row r="26" spans="1:13" x14ac:dyDescent="0.2">
      <c r="A26" s="20"/>
      <c r="B26" s="183" t="str">
        <f>Customer!D22</f>
        <v>Paint Protection (p)</v>
      </c>
      <c r="C26" s="183"/>
      <c r="D26" s="181" t="str">
        <f>IF(LEN(VLOOKUP(B26,Customer!$D$20:$F$26,2,0))=0,"",VLOOKUP(B26,Customer!$D$20:$F$26,2,0))</f>
        <v/>
      </c>
      <c r="E26" s="182"/>
      <c r="F26" s="176" t="str">
        <f>IF(D26=""," ",VLOOKUP(B26,'Cost of Extras'!$A:$B,2,0))</f>
        <v xml:space="preserve"> </v>
      </c>
      <c r="G26" s="177"/>
      <c r="H26" s="173" t="str">
        <f t="shared" si="0"/>
        <v/>
      </c>
      <c r="I26" s="173"/>
    </row>
    <row r="27" spans="1:13" x14ac:dyDescent="0.2">
      <c r="A27" s="20"/>
      <c r="B27" s="183" t="str">
        <f>Customer!D23</f>
        <v>Parking Sensors (p)</v>
      </c>
      <c r="C27" s="183"/>
      <c r="D27" s="181">
        <f>IF(LEN(VLOOKUP(B27,Customer!$D$20:$F$26,2,0))=0,"",VLOOKUP(B27,Customer!$D$20:$F$26,2,0))</f>
        <v>1</v>
      </c>
      <c r="E27" s="182"/>
      <c r="F27" s="176">
        <f>IF(D27=""," ",VLOOKUP(B27,'Cost of Extras'!$A:$B,2,0))</f>
        <v>661</v>
      </c>
      <c r="G27" s="177"/>
      <c r="H27" s="173">
        <f t="shared" si="0"/>
        <v>-660</v>
      </c>
      <c r="I27" s="173"/>
    </row>
    <row r="28" spans="1:13" x14ac:dyDescent="0.2">
      <c r="A28" s="20"/>
      <c r="B28" s="183" t="str">
        <f>Customer!D24</f>
        <v>Rear bumper scuff plate (p)</v>
      </c>
      <c r="C28" s="183"/>
      <c r="D28" s="181">
        <f>IF(LEN(VLOOKUP(B28,Customer!$D$20:$F$26,2,0))=0,"",VLOOKUP(B28,Customer!$D$20:$F$26,2,0))</f>
        <v>1190</v>
      </c>
      <c r="E28" s="182"/>
      <c r="F28" s="176">
        <f>IF(D28=""," ",VLOOKUP(B28,'Cost of Extras'!$A:$B,2,0))</f>
        <v>143</v>
      </c>
      <c r="G28" s="177"/>
      <c r="H28" s="173">
        <f t="shared" si="0"/>
        <v>1047</v>
      </c>
      <c r="I28" s="173"/>
    </row>
    <row r="29" spans="1:13" x14ac:dyDescent="0.2">
      <c r="A29" s="20"/>
      <c r="B29" s="188">
        <f>Customer!D25</f>
        <v>0</v>
      </c>
      <c r="C29" s="188"/>
      <c r="D29" s="181">
        <f>IF(LEN(VLOOKUP(B29,Customer!$D$20:$F$26,2,0))=0,"",VLOOKUP(B29,Customer!$D$20:$F$26,2,0))</f>
        <v>595</v>
      </c>
      <c r="E29" s="182"/>
      <c r="F29" s="176" t="e">
        <f>IF(D29=""," ",VLOOKUP(B29,'Cost of Extras'!$A:$B,2,0))</f>
        <v>#N/A</v>
      </c>
      <c r="G29" s="177"/>
      <c r="H29" s="173" t="str">
        <f t="shared" si="0"/>
        <v/>
      </c>
      <c r="I29" s="173"/>
    </row>
    <row r="30" spans="1:13" x14ac:dyDescent="0.2">
      <c r="A30" s="20"/>
      <c r="B30" s="188">
        <f>Customer!D26</f>
        <v>0</v>
      </c>
      <c r="C30" s="188"/>
      <c r="D30" s="181">
        <f>IF(LEN(VLOOKUP(B30,Customer!$D$20:$F$26,2,0))=0,"",VLOOKUP(B30,Customer!$D$20:$F$26,2,0))</f>
        <v>595</v>
      </c>
      <c r="E30" s="182"/>
      <c r="F30" s="176" t="e">
        <f>IF(D30=""," ",VLOOKUP(B30,'Cost of Extras'!$A:$B,2,0))</f>
        <v>#N/A</v>
      </c>
      <c r="G30" s="177"/>
      <c r="H30" s="173" t="str">
        <f t="shared" si="0"/>
        <v/>
      </c>
      <c r="I30" s="173"/>
    </row>
    <row r="31" spans="1:13" x14ac:dyDescent="0.2">
      <c r="A31" s="20"/>
      <c r="B31" s="188">
        <f>Customer!D27</f>
        <v>0</v>
      </c>
      <c r="C31" s="188"/>
      <c r="D31" s="181">
        <f>IF(LEN(VLOOKUP(B31,Customer!$D$20:$F$27,2,0))=0,"",VLOOKUP(B31,Customer!$D$20:$F$27,2,0))</f>
        <v>595</v>
      </c>
      <c r="E31" s="182"/>
      <c r="F31" s="176" t="e">
        <f>IF(D31=""," ",VLOOKUP(B31,'Cost of Extras'!$A:$B,2,0))</f>
        <v>#N/A</v>
      </c>
      <c r="G31" s="177"/>
      <c r="H31" s="173" t="str">
        <f t="shared" ref="H31" si="2">IFERROR(IF(F31&lt;&gt;"",D31-F31,""),"")</f>
        <v/>
      </c>
      <c r="I31" s="173"/>
    </row>
    <row r="32" spans="1:13" x14ac:dyDescent="0.2">
      <c r="A32" s="20"/>
      <c r="B32" s="183" t="str">
        <f>Customer!G20</f>
        <v>Reversing Camera (p)</v>
      </c>
      <c r="C32" s="183"/>
      <c r="D32" s="181" t="str">
        <f>IF(LEN(VLOOKUP(B32,Customer!$G$20:$I$26,2,0))=0,"",VLOOKUP(B32,Customer!$G$20:$I$26,2,0))</f>
        <v/>
      </c>
      <c r="E32" s="182"/>
      <c r="F32" s="176" t="str">
        <f>IF(D32=""," ",VLOOKUP(B32,'Cost of Extras'!$A:$B,2,0))</f>
        <v xml:space="preserve"> </v>
      </c>
      <c r="G32" s="177"/>
      <c r="H32" s="173" t="str">
        <f t="shared" si="0"/>
        <v/>
      </c>
      <c r="I32" s="173"/>
    </row>
    <row r="33" spans="1:10" x14ac:dyDescent="0.2">
      <c r="A33" s="20"/>
      <c r="B33" s="183" t="str">
        <f>Customer!G21</f>
        <v>Roof Racks (p)</v>
      </c>
      <c r="C33" s="183"/>
      <c r="D33" s="181">
        <f>IF(LEN(VLOOKUP(B33,Customer!$G$20:$I$26,2,0))=0,"",VLOOKUP(B33,Customer!$G$20:$I$26,2,0))</f>
        <v>650</v>
      </c>
      <c r="E33" s="182"/>
      <c r="F33" s="176">
        <f>IF(D33=""," ",VLOOKUP(B33,'Cost of Extras'!$A:$B,2,0))</f>
        <v>667</v>
      </c>
      <c r="G33" s="177"/>
      <c r="H33" s="173">
        <f t="shared" si="0"/>
        <v>-17</v>
      </c>
      <c r="I33" s="173"/>
    </row>
    <row r="34" spans="1:10" x14ac:dyDescent="0.2">
      <c r="A34" s="20"/>
      <c r="B34" s="183" t="str">
        <f>Customer!G22</f>
        <v>Seat Covers (p)</v>
      </c>
      <c r="C34" s="183"/>
      <c r="D34" s="181" t="str">
        <f>IF(LEN(VLOOKUP(B34,Customer!$G$20:$I$26,2,0))=0,"",VLOOKUP(B34,Customer!$G$20:$I$26,2,0))</f>
        <v/>
      </c>
      <c r="E34" s="182"/>
      <c r="F34" s="176" t="str">
        <f>IF(D34=""," ",VLOOKUP(B34,'Cost of Extras'!$A:$B,2,0))</f>
        <v xml:space="preserve"> </v>
      </c>
      <c r="G34" s="177"/>
      <c r="H34" s="173" t="str">
        <f t="shared" si="0"/>
        <v/>
      </c>
      <c r="I34" s="173"/>
    </row>
    <row r="35" spans="1:10" x14ac:dyDescent="0.2">
      <c r="A35" s="20"/>
      <c r="B35" s="183" t="str">
        <f>Customer!G23</f>
        <v>Tow Bar (p)</v>
      </c>
      <c r="C35" s="183"/>
      <c r="D35" s="181">
        <f>IF(LEN(VLOOKUP(B35,Customer!$G$20:$I$26,2,0))=0,"",VLOOKUP(B35,Customer!$G$20:$I$26,2,0))</f>
        <v>1190</v>
      </c>
      <c r="E35" s="182"/>
      <c r="F35" s="176">
        <f>IF(D35=""," ",VLOOKUP(B35,'Cost of Extras'!$A:$B,2,0))</f>
        <v>985</v>
      </c>
      <c r="G35" s="177"/>
      <c r="H35" s="173">
        <f t="shared" si="0"/>
        <v>205</v>
      </c>
      <c r="I35" s="173"/>
    </row>
    <row r="36" spans="1:10" x14ac:dyDescent="0.2">
      <c r="A36" s="20"/>
      <c r="B36" s="183" t="str">
        <f>Customer!G24</f>
        <v>Weather Shields (p)</v>
      </c>
      <c r="C36" s="183"/>
      <c r="D36" s="181" t="str">
        <f>IF(LEN(VLOOKUP(B36,Customer!$G$20:$I$26,2,0))=0,"",VLOOKUP(B36,Customer!$G$20:$I$26,2,0))</f>
        <v/>
      </c>
      <c r="E36" s="182"/>
      <c r="F36" s="176" t="str">
        <f>IF(D36=""," ",VLOOKUP(B36,'Cost of Extras'!$A:$B,2,0))</f>
        <v xml:space="preserve"> </v>
      </c>
      <c r="G36" s="177"/>
      <c r="H36" s="173" t="str">
        <f t="shared" si="0"/>
        <v/>
      </c>
      <c r="I36" s="173"/>
    </row>
    <row r="37" spans="1:10" x14ac:dyDescent="0.2">
      <c r="A37" s="20"/>
      <c r="B37" s="188">
        <f>Customer!G25</f>
        <v>0</v>
      </c>
      <c r="C37" s="188"/>
      <c r="D37" s="181" t="str">
        <f>IF(LEN(VLOOKUP(B37,Customer!$G$20:$I$26,2,0))=0,"",VLOOKUP(B37,Customer!$G$20:$I$26,2,0))</f>
        <v/>
      </c>
      <c r="E37" s="182"/>
      <c r="F37" s="181" t="str">
        <f>IF(D37=""," ",VLOOKUP(B37,'Cost of Extras'!$A:$B,2,0))</f>
        <v xml:space="preserve"> </v>
      </c>
      <c r="G37" s="182"/>
      <c r="H37" s="173" t="str">
        <f t="shared" si="0"/>
        <v/>
      </c>
      <c r="I37" s="173"/>
    </row>
    <row r="38" spans="1:10" x14ac:dyDescent="0.2">
      <c r="A38" s="20"/>
      <c r="B38" s="188">
        <f>Customer!G26</f>
        <v>0</v>
      </c>
      <c r="C38" s="188"/>
      <c r="D38" s="181" t="str">
        <f>IF(LEN(VLOOKUP(B38,Customer!$G$20:$I$27,2,0))=0,"",VLOOKUP(B38,Customer!$G$20:$I$27,2,0))</f>
        <v/>
      </c>
      <c r="E38" s="182"/>
      <c r="F38" s="181" t="str">
        <f>IF(D38=""," ",VLOOKUP(B38,'Cost of Extras'!$A:$B,2,0))</f>
        <v xml:space="preserve"> </v>
      </c>
      <c r="G38" s="182"/>
      <c r="H38" s="173" t="str">
        <f t="shared" ref="H38" si="3">IFERROR(IF(F38&lt;&gt;"",D38-F38,""),"")</f>
        <v/>
      </c>
      <c r="I38" s="173"/>
    </row>
    <row r="39" spans="1:10" x14ac:dyDescent="0.2">
      <c r="A39" s="20"/>
      <c r="B39" s="188">
        <f>Customer!G27</f>
        <v>0</v>
      </c>
      <c r="C39" s="188"/>
      <c r="D39" s="181" t="str">
        <f>IFERROR(IF(LEN(VLOOKUP(B39,Customer!$G$20:$I$29,2,0))=0,"",(VLOOKUP(B39,Customer!$G$20:$I$29,2,0))),"")</f>
        <v/>
      </c>
      <c r="E39" s="182"/>
      <c r="F39" s="208"/>
      <c r="G39" s="209"/>
      <c r="H39" s="173" t="str">
        <f t="shared" ref="H39:H45" si="4">IFERROR(IF(F39&lt;&gt;"",D39-F39,""),"")</f>
        <v/>
      </c>
      <c r="I39" s="173"/>
    </row>
    <row r="40" spans="1:10" x14ac:dyDescent="0.2">
      <c r="A40" s="20"/>
      <c r="B40" s="188">
        <f>Customer!A28</f>
        <v>0</v>
      </c>
      <c r="C40" s="188"/>
      <c r="D40" s="181" t="str">
        <f>IFERROR(IF(LEN(VLOOKUP(B40,Customer!$A$20:$C$29,2,0))=0,"",(VLOOKUP(B40,Customer!$A$20:$C$29,2,0))),"")</f>
        <v/>
      </c>
      <c r="E40" s="182"/>
      <c r="F40" s="208"/>
      <c r="G40" s="209"/>
      <c r="H40" s="173" t="str">
        <f t="shared" si="4"/>
        <v/>
      </c>
      <c r="I40" s="173"/>
    </row>
    <row r="41" spans="1:10" x14ac:dyDescent="0.2">
      <c r="A41" s="20"/>
      <c r="B41" s="188">
        <f>Customer!D28</f>
        <v>0</v>
      </c>
      <c r="C41" s="188"/>
      <c r="D41" s="181">
        <f>IFERROR(IF(LEN(VLOOKUP(B41,Customer!$D$20:$F$29,2,0))=0,"",VLOOKUP(B41,Customer!$D$20:$F$29,2,0)),"")</f>
        <v>595</v>
      </c>
      <c r="E41" s="182"/>
      <c r="F41" s="208"/>
      <c r="G41" s="209"/>
      <c r="H41" s="173" t="str">
        <f t="shared" si="4"/>
        <v/>
      </c>
      <c r="I41" s="173"/>
    </row>
    <row r="42" spans="1:10" x14ac:dyDescent="0.2">
      <c r="A42" s="20"/>
      <c r="B42" s="188">
        <f>Customer!G28</f>
        <v>0</v>
      </c>
      <c r="C42" s="188"/>
      <c r="D42" s="181" t="str">
        <f>IFERROR(IF(LEN(VLOOKUP(B42,Customer!$G$20:$I$29,2,0))=0,"",VLOOKUP(B42,Customer!$G$20:$I$29,2,0)),"")</f>
        <v/>
      </c>
      <c r="E42" s="182"/>
      <c r="F42" s="208"/>
      <c r="G42" s="209"/>
      <c r="H42" s="173" t="str">
        <f t="shared" si="4"/>
        <v/>
      </c>
      <c r="I42" s="173"/>
    </row>
    <row r="43" spans="1:10" x14ac:dyDescent="0.2">
      <c r="A43" s="20"/>
      <c r="B43" s="188">
        <f>Customer!A29</f>
        <v>0</v>
      </c>
      <c r="C43" s="188"/>
      <c r="D43" s="181" t="str">
        <f>IFERROR(IF(LEN(VLOOKUP(B43,Customer!$A$20:$C$29,2,0))=0,"",(VLOOKUP(B43,Customer!$A$20:$C$29,2,0))),"")</f>
        <v/>
      </c>
      <c r="E43" s="182"/>
      <c r="F43" s="208"/>
      <c r="G43" s="209"/>
      <c r="H43" s="173" t="str">
        <f t="shared" si="4"/>
        <v/>
      </c>
      <c r="I43" s="173"/>
    </row>
    <row r="44" spans="1:10" x14ac:dyDescent="0.2">
      <c r="A44" s="20"/>
      <c r="B44" s="48">
        <f>Customer!D29</f>
        <v>0</v>
      </c>
      <c r="C44" s="49"/>
      <c r="D44" s="181">
        <f>IFERROR(IF(LEN(VLOOKUP(B44,Customer!$D$20:$F$29,2,0))=0,"",VLOOKUP(B44,Customer!$D$20:$F$29,2,0)),"")</f>
        <v>595</v>
      </c>
      <c r="E44" s="182"/>
      <c r="F44" s="208"/>
      <c r="G44" s="209"/>
      <c r="H44" s="173" t="str">
        <f t="shared" si="4"/>
        <v/>
      </c>
      <c r="I44" s="173"/>
    </row>
    <row r="45" spans="1:10" x14ac:dyDescent="0.2">
      <c r="A45" s="20"/>
      <c r="B45" s="48">
        <f>Customer!G29</f>
        <v>0</v>
      </c>
      <c r="C45" s="49"/>
      <c r="D45" s="181" t="str">
        <f>IFERROR(IF(LEN(VLOOKUP(B45,Customer!$G$20:$I$29,2,0))=0,"",VLOOKUP(B45,Customer!$G$20:$I$29,2,0)),"")</f>
        <v/>
      </c>
      <c r="E45" s="182"/>
      <c r="F45" s="208"/>
      <c r="G45" s="209"/>
      <c r="H45" s="173" t="str">
        <f t="shared" si="4"/>
        <v/>
      </c>
      <c r="I45" s="173"/>
    </row>
    <row r="46" spans="1:10" x14ac:dyDescent="0.2">
      <c r="A46" s="20"/>
      <c r="B46" s="206" t="s">
        <v>89</v>
      </c>
      <c r="C46" s="190"/>
      <c r="D46" s="189">
        <f>SUM(D16:E45)</f>
        <v>10216</v>
      </c>
      <c r="E46" s="190"/>
      <c r="F46" s="189" t="e">
        <f>SUM(F16:G45)</f>
        <v>#N/A</v>
      </c>
      <c r="G46" s="190"/>
      <c r="H46" s="189">
        <f>SUM(H16:I45)</f>
        <v>4463.6000000000004</v>
      </c>
      <c r="I46" s="190"/>
    </row>
    <row r="47" spans="1:10" ht="27" thickBot="1" x14ac:dyDescent="0.35">
      <c r="A47" s="20"/>
      <c r="B47" s="20"/>
      <c r="C47" s="20"/>
      <c r="D47" s="20"/>
      <c r="E47" s="20"/>
      <c r="F47" s="27" t="s">
        <v>28</v>
      </c>
      <c r="G47" s="28"/>
      <c r="H47" s="195">
        <f>H46</f>
        <v>4463.6000000000004</v>
      </c>
      <c r="I47" s="196"/>
      <c r="J47" s="41">
        <f>IFERROR(H46/D46,"")</f>
        <v>0.43692247454972594</v>
      </c>
    </row>
    <row r="48" spans="1:10" ht="30" customHeight="1" thickBot="1" x14ac:dyDescent="0.3">
      <c r="A48" s="20"/>
      <c r="B48" s="20"/>
      <c r="C48" s="20"/>
      <c r="D48" s="20"/>
      <c r="E48" s="20"/>
      <c r="G48" s="7" t="s">
        <v>88</v>
      </c>
      <c r="H48" s="174">
        <f>H47/1.15</f>
        <v>3881.3913043478269</v>
      </c>
      <c r="I48" s="175"/>
    </row>
    <row r="49" spans="6:10" ht="27" customHeight="1" thickBot="1" x14ac:dyDescent="0.35">
      <c r="F49" s="27" t="s">
        <v>29</v>
      </c>
      <c r="G49" s="28"/>
      <c r="H49" s="171">
        <f>H13+H46</f>
        <v>6963.6</v>
      </c>
      <c r="I49" s="172"/>
      <c r="J49" s="41">
        <f>IFERROR((H13+H46)/(D13+D46),"")</f>
        <v>0.14442508710801394</v>
      </c>
    </row>
    <row r="50" spans="6:10" x14ac:dyDescent="0.2">
      <c r="H50" s="191">
        <f>H49/1.15</f>
        <v>6055.3043478260879</v>
      </c>
      <c r="I50" s="192"/>
    </row>
    <row r="51" spans="6:10" ht="16" thickBot="1" x14ac:dyDescent="0.25">
      <c r="G51" s="7" t="s">
        <v>88</v>
      </c>
      <c r="H51" s="193"/>
      <c r="I51" s="194"/>
    </row>
  </sheetData>
  <sheetProtection selectLockedCells="1"/>
  <mergeCells count="142">
    <mergeCell ref="F38:G38"/>
    <mergeCell ref="H38:I38"/>
    <mergeCell ref="D45:E45"/>
    <mergeCell ref="D42:E42"/>
    <mergeCell ref="D44:E44"/>
    <mergeCell ref="F39:G39"/>
    <mergeCell ref="F40:G40"/>
    <mergeCell ref="F41:G41"/>
    <mergeCell ref="F42:G42"/>
    <mergeCell ref="F43:G43"/>
    <mergeCell ref="F44:G44"/>
    <mergeCell ref="F45:G45"/>
    <mergeCell ref="B3:C3"/>
    <mergeCell ref="B43:C43"/>
    <mergeCell ref="B39:C39"/>
    <mergeCell ref="B40:C40"/>
    <mergeCell ref="B41:C41"/>
    <mergeCell ref="B42:C42"/>
    <mergeCell ref="D39:E39"/>
    <mergeCell ref="D40:E40"/>
    <mergeCell ref="D43:E43"/>
    <mergeCell ref="D41:E41"/>
    <mergeCell ref="B37:C37"/>
    <mergeCell ref="D27:E27"/>
    <mergeCell ref="D21:E21"/>
    <mergeCell ref="B33:C33"/>
    <mergeCell ref="B34:C34"/>
    <mergeCell ref="B35:C35"/>
    <mergeCell ref="B36:C36"/>
    <mergeCell ref="B32:C32"/>
    <mergeCell ref="D20:E20"/>
    <mergeCell ref="B38:C38"/>
    <mergeCell ref="D38:E38"/>
    <mergeCell ref="B23:C23"/>
    <mergeCell ref="D23:E23"/>
    <mergeCell ref="B31:C31"/>
    <mergeCell ref="D46:E46"/>
    <mergeCell ref="F46:G46"/>
    <mergeCell ref="H46:I46"/>
    <mergeCell ref="H50:I51"/>
    <mergeCell ref="H47:I47"/>
    <mergeCell ref="A1:C1"/>
    <mergeCell ref="B4:I4"/>
    <mergeCell ref="B5:I5"/>
    <mergeCell ref="B6:I6"/>
    <mergeCell ref="B7:C7"/>
    <mergeCell ref="E7:F7"/>
    <mergeCell ref="H7:I7"/>
    <mergeCell ref="B21:C21"/>
    <mergeCell ref="B22:C22"/>
    <mergeCell ref="H11:I11"/>
    <mergeCell ref="H13:I13"/>
    <mergeCell ref="H16:I16"/>
    <mergeCell ref="F11:G11"/>
    <mergeCell ref="B46:C46"/>
    <mergeCell ref="D29:E29"/>
    <mergeCell ref="B26:C26"/>
    <mergeCell ref="H26:I26"/>
    <mergeCell ref="B27:C27"/>
    <mergeCell ref="F28:G28"/>
    <mergeCell ref="F37:G37"/>
    <mergeCell ref="D37:E37"/>
    <mergeCell ref="F33:G33"/>
    <mergeCell ref="F34:G34"/>
    <mergeCell ref="F35:G35"/>
    <mergeCell ref="F36:G36"/>
    <mergeCell ref="D33:E33"/>
    <mergeCell ref="D34:E34"/>
    <mergeCell ref="D35:E35"/>
    <mergeCell ref="D36:E36"/>
    <mergeCell ref="F32:G32"/>
    <mergeCell ref="D32:E32"/>
    <mergeCell ref="H27:I27"/>
    <mergeCell ref="F27:G27"/>
    <mergeCell ref="D28:E28"/>
    <mergeCell ref="B30:C30"/>
    <mergeCell ref="H30:I30"/>
    <mergeCell ref="F30:G30"/>
    <mergeCell ref="D30:E30"/>
    <mergeCell ref="B28:C28"/>
    <mergeCell ref="H28:I28"/>
    <mergeCell ref="B29:C29"/>
    <mergeCell ref="H29:I29"/>
    <mergeCell ref="F29:G29"/>
    <mergeCell ref="D31:E31"/>
    <mergeCell ref="F31:G31"/>
    <mergeCell ref="H31:I31"/>
    <mergeCell ref="H17:I17"/>
    <mergeCell ref="B19:C19"/>
    <mergeCell ref="B25:C25"/>
    <mergeCell ref="H25:I25"/>
    <mergeCell ref="B18:C18"/>
    <mergeCell ref="B20:C20"/>
    <mergeCell ref="B24:C24"/>
    <mergeCell ref="B17:C17"/>
    <mergeCell ref="F22:G22"/>
    <mergeCell ref="F24:G24"/>
    <mergeCell ref="F25:G25"/>
    <mergeCell ref="F23:G23"/>
    <mergeCell ref="H23:I23"/>
    <mergeCell ref="F26:G26"/>
    <mergeCell ref="B10:C10"/>
    <mergeCell ref="D11:E11"/>
    <mergeCell ref="D22:E22"/>
    <mergeCell ref="D24:E24"/>
    <mergeCell ref="D25:E25"/>
    <mergeCell ref="D26:E26"/>
    <mergeCell ref="B13:C13"/>
    <mergeCell ref="D13:E13"/>
    <mergeCell ref="F13:G13"/>
    <mergeCell ref="B16:C16"/>
    <mergeCell ref="F16:G16"/>
    <mergeCell ref="F17:G17"/>
    <mergeCell ref="F18:G18"/>
    <mergeCell ref="F19:G19"/>
    <mergeCell ref="F20:G20"/>
    <mergeCell ref="F21:G21"/>
    <mergeCell ref="D16:E16"/>
    <mergeCell ref="D17:E17"/>
    <mergeCell ref="D18:E18"/>
    <mergeCell ref="D19:E19"/>
    <mergeCell ref="H49:I49"/>
    <mergeCell ref="H18:I18"/>
    <mergeCell ref="H19:I19"/>
    <mergeCell ref="H20:I20"/>
    <mergeCell ref="H21:I21"/>
    <mergeCell ref="H22:I22"/>
    <mergeCell ref="H24:I24"/>
    <mergeCell ref="H33:I33"/>
    <mergeCell ref="H34:I34"/>
    <mergeCell ref="H48:I48"/>
    <mergeCell ref="H39:I39"/>
    <mergeCell ref="H40:I40"/>
    <mergeCell ref="H41:I41"/>
    <mergeCell ref="H42:I42"/>
    <mergeCell ref="H43:I43"/>
    <mergeCell ref="H44:I44"/>
    <mergeCell ref="H45:I45"/>
    <mergeCell ref="H35:I35"/>
    <mergeCell ref="H32:I32"/>
    <mergeCell ref="H37:I37"/>
    <mergeCell ref="H36:I36"/>
  </mergeCells>
  <conditionalFormatting sqref="E7">
    <cfRule type="containsBlanks" dxfId="52" priority="64">
      <formula>LEN(TRIM(E7))=0</formula>
    </cfRule>
  </conditionalFormatting>
  <conditionalFormatting sqref="B7">
    <cfRule type="containsBlanks" dxfId="51" priority="63">
      <formula>LEN(TRIM(B7))=0</formula>
    </cfRule>
  </conditionalFormatting>
  <conditionalFormatting sqref="H7">
    <cfRule type="containsBlanks" dxfId="50" priority="57">
      <formula>LEN(TRIM(H7))=0</formula>
    </cfRule>
  </conditionalFormatting>
  <conditionalFormatting sqref="B13">
    <cfRule type="containsBlanks" dxfId="49" priority="55">
      <formula>LEN(TRIM(B13))=0</formula>
    </cfRule>
  </conditionalFormatting>
  <conditionalFormatting sqref="B7:C7 E7:F7 H7:I7 B13:C13">
    <cfRule type="containsBlanks" dxfId="48" priority="54">
      <formula>LEN(TRIM(B7))=0</formula>
    </cfRule>
  </conditionalFormatting>
  <conditionalFormatting sqref="D13">
    <cfRule type="containsBlanks" dxfId="47" priority="53">
      <formula>LEN(TRIM(D13))=0</formula>
    </cfRule>
  </conditionalFormatting>
  <conditionalFormatting sqref="D13:E13">
    <cfRule type="containsBlanks" dxfId="46" priority="52">
      <formula>LEN(TRIM(D13))=0</formula>
    </cfRule>
  </conditionalFormatting>
  <conditionalFormatting sqref="H39:I45 D16:I38 D39:E45">
    <cfRule type="containsBlanks" dxfId="45" priority="23">
      <formula>LEN(TRIM(D16))=0</formula>
    </cfRule>
  </conditionalFormatting>
  <conditionalFormatting sqref="F13:G13">
    <cfRule type="containsBlanks" dxfId="44" priority="20">
      <formula>LEN(TRIM(F13))=0</formula>
    </cfRule>
  </conditionalFormatting>
  <conditionalFormatting sqref="B6">
    <cfRule type="containsBlanks" dxfId="43" priority="16">
      <formula>LEN(TRIM(B6))=0</formula>
    </cfRule>
  </conditionalFormatting>
  <conditionalFormatting sqref="B6:C6">
    <cfRule type="containsBlanks" dxfId="42" priority="15">
      <formula>LEN(TRIM(B6))=0</formula>
    </cfRule>
  </conditionalFormatting>
  <conditionalFormatting sqref="B5">
    <cfRule type="containsBlanks" dxfId="41" priority="14">
      <formula>LEN(TRIM(B5))=0</formula>
    </cfRule>
  </conditionalFormatting>
  <conditionalFormatting sqref="B5:C5">
    <cfRule type="containsBlanks" dxfId="40" priority="13">
      <formula>LEN(TRIM(B5))=0</formula>
    </cfRule>
  </conditionalFormatting>
  <conditionalFormatting sqref="B4">
    <cfRule type="containsBlanks" dxfId="39" priority="12">
      <formula>LEN(TRIM(B4))=0</formula>
    </cfRule>
  </conditionalFormatting>
  <conditionalFormatting sqref="B4:C4">
    <cfRule type="containsBlanks" dxfId="38" priority="11">
      <formula>LEN(TRIM(B4))=0</formula>
    </cfRule>
  </conditionalFormatting>
  <conditionalFormatting sqref="B10">
    <cfRule type="containsBlanks" dxfId="37" priority="8">
      <formula>LEN(TRIM(B10))=0</formula>
    </cfRule>
  </conditionalFormatting>
  <conditionalFormatting sqref="B10:C10">
    <cfRule type="containsBlanks" dxfId="36" priority="7">
      <formula>LEN(TRIM(B10))=0</formula>
    </cfRule>
  </conditionalFormatting>
  <conditionalFormatting sqref="B3">
    <cfRule type="containsBlanks" dxfId="35" priority="2">
      <formula>LEN(TRIM(B3))=0</formula>
    </cfRule>
  </conditionalFormatting>
  <conditionalFormatting sqref="B3:C3">
    <cfRule type="containsBlanks" dxfId="34" priority="1">
      <formula>LEN(TRIM(B3))=0</formula>
    </cfRule>
  </conditionalFormatting>
  <pageMargins left="0.7" right="0.7" top="0.75" bottom="0.75" header="0.3" footer="0.3"/>
  <pageSetup paperSize="9" scale="6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9"/>
    <pageSetUpPr fitToPage="1"/>
  </sheetPr>
  <dimension ref="A1:Q40"/>
  <sheetViews>
    <sheetView showGridLines="0" zoomScale="70" zoomScaleNormal="70" zoomScalePageLayoutView="70" workbookViewId="0">
      <selection activeCell="B16" sqref="B16"/>
    </sheetView>
  </sheetViews>
  <sheetFormatPr baseColWidth="10" defaultColWidth="8.83203125" defaultRowHeight="15" x14ac:dyDescent="0.2"/>
  <cols>
    <col min="1" max="1" width="17.5" style="4" customWidth="1"/>
    <col min="2" max="2" width="13.6640625" style="4" customWidth="1"/>
    <col min="3" max="3" width="10.83203125" style="4" customWidth="1"/>
    <col min="4" max="4" width="20" style="4" bestFit="1" customWidth="1"/>
    <col min="5" max="5" width="7.6640625" style="4" customWidth="1"/>
    <col min="6" max="6" width="24.83203125" style="4" customWidth="1"/>
    <col min="7" max="7" width="12.6640625" style="4" bestFit="1" customWidth="1"/>
    <col min="8" max="8" width="4.6640625" style="4" customWidth="1"/>
    <col min="9" max="9" width="23.6640625" style="4" customWidth="1"/>
    <col min="10" max="10" width="9.1640625" style="4" customWidth="1"/>
    <col min="11" max="16384" width="8.83203125" style="4"/>
  </cols>
  <sheetData>
    <row r="1" spans="1:17" ht="74" customHeight="1" x14ac:dyDescent="0.45">
      <c r="A1" s="211" t="s">
        <v>30</v>
      </c>
      <c r="B1" s="212"/>
      <c r="C1" s="212"/>
      <c r="D1" s="38"/>
      <c r="E1" s="39"/>
      <c r="F1" s="39"/>
      <c r="G1" s="39"/>
      <c r="H1" s="40"/>
      <c r="I1" s="40"/>
      <c r="J1" s="3"/>
      <c r="K1" s="3"/>
      <c r="L1" s="3"/>
      <c r="M1" s="3"/>
    </row>
    <row r="2" spans="1:17" x14ac:dyDescent="0.2">
      <c r="A2" s="5"/>
      <c r="B2" s="32"/>
      <c r="C2" s="32"/>
      <c r="D2" s="45"/>
      <c r="E2" s="8"/>
      <c r="F2" s="8"/>
      <c r="G2" s="8"/>
      <c r="H2" s="8"/>
      <c r="I2" s="8"/>
    </row>
    <row r="3" spans="1:17" x14ac:dyDescent="0.2">
      <c r="A3" s="10" t="s">
        <v>21</v>
      </c>
      <c r="B3" s="216">
        <f>IF(ISBLANK(Customer!B2)," ",(Customer!B2))</f>
        <v>43177</v>
      </c>
      <c r="C3" s="217"/>
      <c r="D3" s="32"/>
      <c r="E3" s="9"/>
      <c r="F3" s="9"/>
      <c r="G3" s="9"/>
      <c r="H3" s="9"/>
      <c r="I3" s="9"/>
    </row>
    <row r="4" spans="1:17" x14ac:dyDescent="0.2">
      <c r="A4" s="10" t="s">
        <v>1</v>
      </c>
      <c r="B4" s="202" t="str">
        <f>IF(ISBLANK(Customer!B3)," ",(Customer!B3))</f>
        <v>MR TONY TESTER</v>
      </c>
      <c r="C4" s="213"/>
      <c r="D4" s="214"/>
      <c r="E4" s="214"/>
      <c r="F4" s="214"/>
      <c r="G4" s="214"/>
      <c r="H4" s="214"/>
      <c r="I4" s="215"/>
    </row>
    <row r="5" spans="1:17" x14ac:dyDescent="0.2">
      <c r="A5" s="10" t="s">
        <v>2</v>
      </c>
      <c r="B5" s="202" t="str">
        <f>IF(ISBLANK(Customer!B4)," ",(Customer!B4))</f>
        <v>231 TOP TOWN STREET HASTINGS</v>
      </c>
      <c r="C5" s="213"/>
      <c r="D5" s="214"/>
      <c r="E5" s="214"/>
      <c r="F5" s="214"/>
      <c r="G5" s="214"/>
      <c r="H5" s="214"/>
      <c r="I5" s="215"/>
    </row>
    <row r="6" spans="1:17" x14ac:dyDescent="0.2">
      <c r="A6" s="10" t="s">
        <v>3</v>
      </c>
      <c r="B6" s="202" t="str">
        <f>IF(ISBLANK(Customer!B5)," ",(Customer!B5))</f>
        <v>ttester@xtra.co.nz</v>
      </c>
      <c r="C6" s="213"/>
      <c r="D6" s="214"/>
      <c r="E6" s="214"/>
      <c r="F6" s="214"/>
      <c r="G6" s="214"/>
      <c r="H6" s="214"/>
      <c r="I6" s="215"/>
    </row>
    <row r="7" spans="1:17" x14ac:dyDescent="0.2">
      <c r="A7" s="10" t="s">
        <v>4</v>
      </c>
      <c r="B7" s="202" t="str">
        <f>IF(ISBLANK(Customer!B6)," ",(Customer!B6))</f>
        <v>00000000</v>
      </c>
      <c r="C7" s="203"/>
      <c r="D7" s="11" t="s">
        <v>5</v>
      </c>
      <c r="E7" s="202" t="str">
        <f>IF(ISBLANK(Customer!E6)," ",(Customer!E6))</f>
        <v xml:space="preserve"> </v>
      </c>
      <c r="F7" s="203"/>
      <c r="G7" s="11" t="s">
        <v>6</v>
      </c>
      <c r="H7" s="202" t="str">
        <f>IF(ISBLANK(Customer!H6)," ",(Customer!H6))</f>
        <v xml:space="preserve"> </v>
      </c>
      <c r="I7" s="203"/>
    </row>
    <row r="8" spans="1:17" x14ac:dyDescent="0.2">
      <c r="M8" s="19"/>
    </row>
    <row r="9" spans="1:17" x14ac:dyDescent="0.2">
      <c r="A9" s="6" t="s">
        <v>79</v>
      </c>
      <c r="B9" s="183">
        <f>IF(ISBLANK(Customer!B8)," ",(Customer!B8))</f>
        <v>785899</v>
      </c>
      <c r="C9" s="199"/>
      <c r="D9" s="46"/>
    </row>
    <row r="10" spans="1:17" x14ac:dyDescent="0.2">
      <c r="A10" s="6" t="s">
        <v>93</v>
      </c>
      <c r="B10" s="183" t="str">
        <f>IF(ISBLANK(Customer!B9)," ",(Customer!B9))</f>
        <v>WHITE</v>
      </c>
      <c r="C10" s="199"/>
      <c r="D10" s="46"/>
    </row>
    <row r="11" spans="1:17" x14ac:dyDescent="0.2">
      <c r="A11" s="6" t="s">
        <v>26</v>
      </c>
      <c r="B11" s="183" t="str">
        <f>IF(ISBLANK(Customer!G9)," ",(Customer!G9))</f>
        <v>TRITON GLXR MAN 4X4</v>
      </c>
      <c r="C11" s="183"/>
      <c r="E11" s="8"/>
      <c r="F11" s="43" t="s">
        <v>73</v>
      </c>
      <c r="G11" s="50" t="s">
        <v>126</v>
      </c>
      <c r="H11" s="50"/>
      <c r="I11" s="47" t="s">
        <v>75</v>
      </c>
    </row>
    <row r="12" spans="1:17" x14ac:dyDescent="0.2">
      <c r="F12" s="43" t="s">
        <v>74</v>
      </c>
      <c r="G12" s="50" t="s">
        <v>127</v>
      </c>
      <c r="H12" s="50"/>
      <c r="I12" s="42"/>
    </row>
    <row r="13" spans="1:17" x14ac:dyDescent="0.2">
      <c r="A13" s="6" t="s">
        <v>31</v>
      </c>
      <c r="B13" s="183" t="str">
        <f>IF(ISBLANK(Customer!B17)," ",(Customer!B17))</f>
        <v>Passenger</v>
      </c>
      <c r="C13" s="183"/>
    </row>
    <row r="14" spans="1:17" ht="20" x14ac:dyDescent="0.25">
      <c r="G14" s="23"/>
      <c r="J14" s="21"/>
    </row>
    <row r="15" spans="1:17" ht="20" x14ac:dyDescent="0.25">
      <c r="A15" s="6" t="s">
        <v>32</v>
      </c>
      <c r="B15" s="31" t="str">
        <f>IF(Customer!A20=0,"",Customer!A20)</f>
        <v>Bonnet Protector (p)</v>
      </c>
      <c r="C15" s="31"/>
      <c r="D15" s="22" t="str">
        <f>IF(VLOOKUP(Workshop!B15,Customer!$A$20:$C$26,2,0)&gt;0,"þ","")</f>
        <v/>
      </c>
      <c r="E15" s="210" t="str">
        <f>IF(Customer!D20=0,"",Customer!D20)</f>
        <v>Mats (rubber or carpet) (p)</v>
      </c>
      <c r="F15" s="210"/>
      <c r="G15" s="22" t="str">
        <f>IF(VLOOKUP(Workshop!E15,Customer!$D$20:$F$26,2,0)&gt;0,"þ","")</f>
        <v/>
      </c>
      <c r="H15" s="210" t="str">
        <f>IF(Customer!G20=0,"",Customer!G20)</f>
        <v>Reversing Camera (p)</v>
      </c>
      <c r="I15" s="210"/>
      <c r="J15" s="22" t="str">
        <f>IF(VLOOKUP(Workshop!H15,Customer!$G$20:$I$26,2,0)&gt;0,"þ","")</f>
        <v/>
      </c>
      <c r="Q15" s="21"/>
    </row>
    <row r="16" spans="1:17" ht="20" x14ac:dyDescent="0.25">
      <c r="B16" s="31" t="str">
        <f>IF(Customer!A21=0,"",Customer!A21)</f>
        <v>Cargo Liner (p)</v>
      </c>
      <c r="C16" s="31"/>
      <c r="D16" s="22" t="str">
        <f>IF(VLOOKUP(Workshop!B16,Customer!$A$20:$C$26,2,0)&gt;0,"þ","")</f>
        <v>þ</v>
      </c>
      <c r="E16" s="210" t="str">
        <f>IF(Customer!D21=0,"",Customer!D21)</f>
        <v>Mud Flaps (p)</v>
      </c>
      <c r="F16" s="210"/>
      <c r="G16" s="22" t="str">
        <f>IF(VLOOKUP(Workshop!E16,Customer!$D$20:$F$26,2,0)&gt;0,"þ","")</f>
        <v/>
      </c>
      <c r="H16" s="210" t="str">
        <f>IF(Customer!G21=0,"",Customer!G21)</f>
        <v>Roof Racks (p)</v>
      </c>
      <c r="I16" s="210"/>
      <c r="J16" s="22" t="str">
        <f>IF(VLOOKUP(Workshop!H16,Customer!$G$20:$I$26,2,0)&gt;0,"þ","")</f>
        <v>þ</v>
      </c>
    </row>
    <row r="17" spans="1:11" ht="20" x14ac:dyDescent="0.25">
      <c r="B17" s="31" t="str">
        <f>IF(Customer!A22=0,"",Customer!A22)</f>
        <v>Fab Protection (p)</v>
      </c>
      <c r="C17" s="31"/>
      <c r="D17" s="22" t="str">
        <f>IF(VLOOKUP(Workshop!B17,Customer!$A$20:$C$26,2,0)&gt;0,"þ","")</f>
        <v>þ</v>
      </c>
      <c r="E17" s="210" t="str">
        <f>IF(Customer!D22=0,"",Customer!D22)</f>
        <v>Paint Protection (p)</v>
      </c>
      <c r="F17" s="210"/>
      <c r="G17" s="22" t="str">
        <f>IF(VLOOKUP(Workshop!E17,Customer!$D$20:$F$26,2,0)&gt;0,"þ","")</f>
        <v/>
      </c>
      <c r="H17" s="210" t="str">
        <f>IF(Customer!G22=0,"",Customer!G22)</f>
        <v>Seat Covers (p)</v>
      </c>
      <c r="I17" s="210"/>
      <c r="J17" s="22" t="str">
        <f>IF(VLOOKUP(Workshop!H17,Customer!$G$20:$I$26,2,0)&gt;0,"þ","")</f>
        <v/>
      </c>
    </row>
    <row r="18" spans="1:11" ht="20" x14ac:dyDescent="0.25">
      <c r="B18" s="31" t="str">
        <f>IF(Customer!A23=0,"",Customer!A23)</f>
        <v>Fire Extinguisher (p)</v>
      </c>
      <c r="C18" s="31"/>
      <c r="D18" s="22" t="str">
        <f>IF(VLOOKUP(Workshop!B18,Customer!$A$20:$C$26,2,0)&gt;0,"þ","")</f>
        <v>þ</v>
      </c>
      <c r="E18" s="210" t="str">
        <f>IF(Customer!D23=0,"",Customer!D23)</f>
        <v>Parking Sensors (p)</v>
      </c>
      <c r="F18" s="210"/>
      <c r="G18" s="22" t="str">
        <f>IF(VLOOKUP(Workshop!E18,Customer!$D$20:$F$26,2,0)&gt;0,"þ","")</f>
        <v>þ</v>
      </c>
      <c r="H18" s="210" t="str">
        <f>IF(Customer!G23=0,"",Customer!G23)</f>
        <v>Tow Bar (p)</v>
      </c>
      <c r="I18" s="210"/>
      <c r="J18" s="22" t="str">
        <f>IF(VLOOKUP(Workshop!H18,Customer!$G$20:$I$26,2,0)&gt;0,"þ","")</f>
        <v>þ</v>
      </c>
    </row>
    <row r="19" spans="1:11" ht="20" x14ac:dyDescent="0.25">
      <c r="B19" s="31" t="str">
        <f>IF(Customer!A24=0,"",Customer!A24)</f>
        <v>Fog Lamps (p)</v>
      </c>
      <c r="C19" s="31"/>
      <c r="D19" s="22" t="str">
        <f>IF(VLOOKUP(Workshop!B19,Customer!$A$20:$C$26,2,0)&gt;0,"þ","")</f>
        <v/>
      </c>
      <c r="E19" s="210" t="str">
        <f>IF(Customer!D24=0,"",Customer!D24)</f>
        <v>Rear bumper scuff plate (p)</v>
      </c>
      <c r="F19" s="210"/>
      <c r="G19" s="22" t="str">
        <f>IF(VLOOKUP(Workshop!E19,Customer!$D$20:$F$26,2,0)&gt;0,"þ","")</f>
        <v>þ</v>
      </c>
      <c r="H19" s="210" t="str">
        <f>IF(Customer!G24=0,"",Customer!G24)</f>
        <v>Weather Shields (p)</v>
      </c>
      <c r="I19" s="210"/>
      <c r="J19" s="22" t="str">
        <f>IF(VLOOKUP(Workshop!H19,Customer!$G$20:$I$26,2,0)&gt;0,"þ","")</f>
        <v/>
      </c>
    </row>
    <row r="20" spans="1:11" ht="20" x14ac:dyDescent="0.25">
      <c r="B20" s="31" t="str">
        <f>IF(Customer!A25=0,"",Customer!A25)</f>
        <v/>
      </c>
      <c r="C20" s="31"/>
      <c r="D20" s="22" t="str">
        <f>IF(Customer!B25&gt;0,"þ","")</f>
        <v/>
      </c>
      <c r="E20" s="210" t="str">
        <f>IF(Customer!D25=0,"",Customer!D25)</f>
        <v/>
      </c>
      <c r="F20" s="210"/>
      <c r="G20" s="22" t="str">
        <f>IF(Customer!E25&gt;0,"þ","")</f>
        <v>þ</v>
      </c>
      <c r="H20" s="210" t="str">
        <f>IF(Customer!G25=0,"",Customer!G25)</f>
        <v/>
      </c>
      <c r="I20" s="210"/>
      <c r="J20" s="22" t="str">
        <f>IF(Customer!H25&gt;0,"þ","")</f>
        <v/>
      </c>
    </row>
    <row r="21" spans="1:11" ht="20" x14ac:dyDescent="0.25">
      <c r="B21" s="31" t="str">
        <f>IF(Customer!A26=0,"",Customer!A26)</f>
        <v/>
      </c>
      <c r="C21" s="31"/>
      <c r="D21" s="22" t="str">
        <f>IF(Customer!B26&gt;0,"þ","")</f>
        <v/>
      </c>
      <c r="E21" s="210" t="str">
        <f>IF(Customer!D26=0,"",Customer!D26)</f>
        <v/>
      </c>
      <c r="F21" s="210"/>
      <c r="G21" s="22" t="str">
        <f>IF(Customer!E26&gt;0,"þ","")</f>
        <v/>
      </c>
      <c r="H21" s="210" t="str">
        <f>IF(Customer!G26=0,"",Customer!G26)</f>
        <v/>
      </c>
      <c r="I21" s="210"/>
      <c r="J21" s="22" t="str">
        <f>IF(Customer!H26&gt;0,"þ","")</f>
        <v/>
      </c>
      <c r="K21" s="22"/>
    </row>
    <row r="22" spans="1:11" ht="20" x14ac:dyDescent="0.25">
      <c r="B22" s="51" t="str">
        <f>IF(Customer!A27=0,"",Customer!A27)</f>
        <v>Commercial</v>
      </c>
      <c r="C22" s="51"/>
      <c r="D22" s="22" t="str">
        <f>IF(Customer!B27&gt;0,"þ","")</f>
        <v/>
      </c>
      <c r="E22" s="210" t="str">
        <f>IF(Customer!D27=0,"",Customer!D27)</f>
        <v/>
      </c>
      <c r="F22" s="210"/>
      <c r="G22" s="22" t="str">
        <f>IF(Customer!E27&gt;0,"þ","")</f>
        <v/>
      </c>
      <c r="H22" s="210" t="str">
        <f>IF(Customer!G27=0,"",Customer!G27)</f>
        <v/>
      </c>
      <c r="I22" s="210"/>
      <c r="J22" s="22" t="str">
        <f>IF(Customer!H27&gt;0,"þ","")</f>
        <v/>
      </c>
      <c r="K22" s="22"/>
    </row>
    <row r="23" spans="1:11" ht="20" x14ac:dyDescent="0.25">
      <c r="B23" s="44" t="str">
        <f>IF(Customer!A28=0,"",Customer!A28)</f>
        <v/>
      </c>
      <c r="C23" s="44"/>
      <c r="D23" s="22" t="str">
        <f>IF(Customer!B28&gt;0,"þ","")</f>
        <v/>
      </c>
      <c r="E23" s="210" t="str">
        <f>IF(Customer!D28=0,"",Customer!D28)</f>
        <v/>
      </c>
      <c r="F23" s="210"/>
      <c r="G23" s="22" t="str">
        <f>IF(Customer!E28&gt;0,"þ","")</f>
        <v/>
      </c>
      <c r="H23" s="210" t="str">
        <f>IF(Customer!G28=0,"",Customer!G28)</f>
        <v/>
      </c>
      <c r="I23" s="210"/>
      <c r="J23" s="22" t="str">
        <f>IF(Customer!H28&gt;0,"þ","")</f>
        <v/>
      </c>
    </row>
    <row r="24" spans="1:11" ht="20" x14ac:dyDescent="0.25">
      <c r="B24" s="44" t="str">
        <f>IF(Customer!A29=0,"",Customer!A29)</f>
        <v/>
      </c>
      <c r="C24" s="44"/>
      <c r="D24" s="22" t="str">
        <f>IF(Customer!B29&gt;0,"þ","")</f>
        <v/>
      </c>
      <c r="E24" s="210" t="str">
        <f>IF(Customer!D29=0,"",Customer!D29)</f>
        <v/>
      </c>
      <c r="F24" s="210"/>
      <c r="G24" s="22" t="str">
        <f>IF(Customer!E29&gt;0,"þ","")</f>
        <v/>
      </c>
      <c r="H24" s="210" t="str">
        <f>IF(Customer!G29=0,"",Customer!G29)</f>
        <v/>
      </c>
      <c r="I24" s="210"/>
      <c r="J24" s="22" t="str">
        <f>IF(Customer!H29&gt;0,"þ","")</f>
        <v/>
      </c>
    </row>
    <row r="25" spans="1:11" ht="21" thickBot="1" x14ac:dyDescent="0.3">
      <c r="B25" s="31" t="str">
        <f>IF(ISBLANK(Customer!A30),"",Customer!A30)</f>
        <v/>
      </c>
      <c r="C25" s="31"/>
      <c r="D25" s="24"/>
      <c r="E25" s="210" t="str">
        <f>IF(Customer!D30=0,"",Customer!D30)</f>
        <v/>
      </c>
      <c r="F25" s="210"/>
      <c r="G25" s="23"/>
      <c r="H25" s="210"/>
      <c r="I25" s="210"/>
      <c r="J25" s="21"/>
    </row>
    <row r="26" spans="1:11" ht="16" x14ac:dyDescent="0.2">
      <c r="A26" s="6" t="s">
        <v>78</v>
      </c>
      <c r="B26" s="53"/>
      <c r="C26" s="54"/>
      <c r="D26" s="55"/>
      <c r="E26" s="55"/>
      <c r="F26" s="55"/>
      <c r="G26" s="55"/>
      <c r="H26" s="55"/>
      <c r="I26" s="56"/>
    </row>
    <row r="27" spans="1:11" ht="16" x14ac:dyDescent="0.2">
      <c r="B27" s="57"/>
      <c r="C27" s="58"/>
      <c r="D27" s="59"/>
      <c r="E27" s="59"/>
      <c r="F27" s="59"/>
      <c r="G27" s="59"/>
      <c r="H27" s="59"/>
      <c r="I27" s="60"/>
    </row>
    <row r="28" spans="1:11" ht="16" x14ac:dyDescent="0.2">
      <c r="B28" s="61" t="s">
        <v>128</v>
      </c>
      <c r="C28" s="62"/>
      <c r="D28" s="59"/>
      <c r="E28" s="59"/>
      <c r="F28" s="59"/>
      <c r="G28" s="59"/>
      <c r="H28" s="59"/>
      <c r="I28" s="60"/>
    </row>
    <row r="29" spans="1:11" ht="16" x14ac:dyDescent="0.2">
      <c r="B29" s="61" t="s">
        <v>129</v>
      </c>
      <c r="C29" s="62"/>
      <c r="D29" s="59"/>
      <c r="E29" s="59"/>
      <c r="F29" s="59"/>
      <c r="G29" s="59"/>
      <c r="H29" s="59"/>
      <c r="I29" s="60"/>
    </row>
    <row r="30" spans="1:11" ht="16" x14ac:dyDescent="0.2">
      <c r="B30" s="61"/>
      <c r="C30" s="62"/>
      <c r="D30" s="59"/>
      <c r="E30" s="59"/>
      <c r="F30" s="59"/>
      <c r="G30" s="59"/>
      <c r="H30" s="59"/>
      <c r="I30" s="60"/>
    </row>
    <row r="31" spans="1:11" ht="16" x14ac:dyDescent="0.2">
      <c r="B31" s="61"/>
      <c r="C31" s="62"/>
      <c r="D31" s="59"/>
      <c r="E31" s="59"/>
      <c r="F31" s="59"/>
      <c r="G31" s="59"/>
      <c r="H31" s="59"/>
      <c r="I31" s="60"/>
    </row>
    <row r="32" spans="1:11" ht="16" x14ac:dyDescent="0.2">
      <c r="B32" s="61"/>
      <c r="C32" s="62"/>
      <c r="D32" s="59"/>
      <c r="E32" s="59"/>
      <c r="F32" s="59"/>
      <c r="G32" s="59"/>
      <c r="H32" s="59"/>
      <c r="I32" s="60"/>
    </row>
    <row r="33" spans="2:9" ht="16" x14ac:dyDescent="0.2">
      <c r="B33" s="63"/>
      <c r="C33" s="59"/>
      <c r="D33" s="59"/>
      <c r="E33" s="59"/>
      <c r="F33" s="59"/>
      <c r="G33" s="59"/>
      <c r="H33" s="59"/>
      <c r="I33" s="60"/>
    </row>
    <row r="34" spans="2:9" ht="16" x14ac:dyDescent="0.2">
      <c r="B34" s="63"/>
      <c r="C34" s="59"/>
      <c r="D34" s="59"/>
      <c r="E34" s="59"/>
      <c r="F34" s="59"/>
      <c r="G34" s="59"/>
      <c r="H34" s="59"/>
      <c r="I34" s="60"/>
    </row>
    <row r="35" spans="2:9" ht="16" x14ac:dyDescent="0.2">
      <c r="B35" s="63"/>
      <c r="C35" s="59"/>
      <c r="D35" s="59"/>
      <c r="E35" s="59"/>
      <c r="F35" s="59"/>
      <c r="G35" s="59"/>
      <c r="H35" s="59"/>
      <c r="I35" s="60"/>
    </row>
    <row r="36" spans="2:9" ht="16" x14ac:dyDescent="0.2">
      <c r="B36" s="63"/>
      <c r="C36" s="59"/>
      <c r="D36" s="59"/>
      <c r="E36" s="59"/>
      <c r="F36" s="59"/>
      <c r="G36" s="59"/>
      <c r="H36" s="59"/>
      <c r="I36" s="60"/>
    </row>
    <row r="37" spans="2:9" ht="16" x14ac:dyDescent="0.2">
      <c r="B37" s="63"/>
      <c r="C37" s="59"/>
      <c r="D37" s="59"/>
      <c r="E37" s="59"/>
      <c r="F37" s="59"/>
      <c r="G37" s="59"/>
      <c r="H37" s="59"/>
      <c r="I37" s="60"/>
    </row>
    <row r="38" spans="2:9" ht="16" x14ac:dyDescent="0.2">
      <c r="B38" s="63"/>
      <c r="C38" s="59"/>
      <c r="D38" s="59"/>
      <c r="E38" s="59"/>
      <c r="F38" s="59"/>
      <c r="G38" s="59"/>
      <c r="H38" s="59"/>
      <c r="I38" s="60"/>
    </row>
    <row r="39" spans="2:9" ht="16" x14ac:dyDescent="0.2">
      <c r="B39" s="63"/>
      <c r="C39" s="59"/>
      <c r="D39" s="59"/>
      <c r="E39" s="59"/>
      <c r="F39" s="59"/>
      <c r="G39" s="59"/>
      <c r="H39" s="59"/>
      <c r="I39" s="60"/>
    </row>
    <row r="40" spans="2:9" ht="17" thickBot="1" x14ac:dyDescent="0.25">
      <c r="B40" s="64"/>
      <c r="C40" s="65"/>
      <c r="D40" s="65"/>
      <c r="E40" s="65"/>
      <c r="F40" s="65"/>
      <c r="G40" s="65"/>
      <c r="H40" s="65"/>
      <c r="I40" s="66"/>
    </row>
  </sheetData>
  <sheetProtection selectLockedCells="1"/>
  <mergeCells count="34">
    <mergeCell ref="B10:C10"/>
    <mergeCell ref="H23:I23"/>
    <mergeCell ref="H24:I24"/>
    <mergeCell ref="E23:F23"/>
    <mergeCell ref="E24:F24"/>
    <mergeCell ref="E18:F18"/>
    <mergeCell ref="E19:F19"/>
    <mergeCell ref="E20:F20"/>
    <mergeCell ref="E21:F21"/>
    <mergeCell ref="H15:I15"/>
    <mergeCell ref="B11:C11"/>
    <mergeCell ref="E15:F15"/>
    <mergeCell ref="E16:F16"/>
    <mergeCell ref="E17:F17"/>
    <mergeCell ref="H16:I16"/>
    <mergeCell ref="H17:I17"/>
    <mergeCell ref="B9:C9"/>
    <mergeCell ref="A1:C1"/>
    <mergeCell ref="B4:I4"/>
    <mergeCell ref="B5:I5"/>
    <mergeCell ref="B6:I6"/>
    <mergeCell ref="B7:C7"/>
    <mergeCell ref="E7:F7"/>
    <mergeCell ref="H7:I7"/>
    <mergeCell ref="B3:C3"/>
    <mergeCell ref="B13:C13"/>
    <mergeCell ref="H25:I25"/>
    <mergeCell ref="E25:F25"/>
    <mergeCell ref="H20:I20"/>
    <mergeCell ref="H21:I21"/>
    <mergeCell ref="H18:I18"/>
    <mergeCell ref="H19:I19"/>
    <mergeCell ref="E22:F22"/>
    <mergeCell ref="H22:I22"/>
  </mergeCells>
  <conditionalFormatting sqref="H7">
    <cfRule type="containsBlanks" dxfId="33" priority="64">
      <formula>LEN(TRIM(H7))=0</formula>
    </cfRule>
  </conditionalFormatting>
  <conditionalFormatting sqref="H7:I7">
    <cfRule type="containsBlanks" dxfId="32" priority="62">
      <formula>LEN(TRIM(H7))=0</formula>
    </cfRule>
  </conditionalFormatting>
  <conditionalFormatting sqref="B11">
    <cfRule type="containsBlanks" dxfId="31" priority="57">
      <formula>LEN(TRIM(B11))=0</formula>
    </cfRule>
  </conditionalFormatting>
  <conditionalFormatting sqref="B11:C11">
    <cfRule type="containsBlanks" dxfId="30" priority="56">
      <formula>LEN(TRIM(B11))=0</formula>
    </cfRule>
  </conditionalFormatting>
  <conditionalFormatting sqref="B13">
    <cfRule type="containsBlanks" dxfId="29" priority="55">
      <formula>LEN(TRIM(B13))=0</formula>
    </cfRule>
  </conditionalFormatting>
  <conditionalFormatting sqref="B13:C13">
    <cfRule type="containsBlanks" dxfId="28" priority="54">
      <formula>LEN(TRIM(B13))=0</formula>
    </cfRule>
  </conditionalFormatting>
  <conditionalFormatting sqref="B15:C15">
    <cfRule type="expression" dxfId="27" priority="53">
      <formula>$D$15=þ</formula>
    </cfRule>
  </conditionalFormatting>
  <conditionalFormatting sqref="D15:D19">
    <cfRule type="containsText" dxfId="26" priority="52" operator="containsText" text="þ">
      <formula>NOT(ISERROR(SEARCH("þ",D15)))</formula>
    </cfRule>
  </conditionalFormatting>
  <conditionalFormatting sqref="G15:G24">
    <cfRule type="containsText" dxfId="25" priority="51" operator="containsText" text="þ">
      <formula>NOT(ISERROR(SEARCH("þ",G15)))</formula>
    </cfRule>
  </conditionalFormatting>
  <conditionalFormatting sqref="J15:J24">
    <cfRule type="containsText" dxfId="24" priority="50" operator="containsText" text="þ">
      <formula>NOT(ISERROR(SEARCH("þ",J15)))</formula>
    </cfRule>
  </conditionalFormatting>
  <conditionalFormatting sqref="D20:D22">
    <cfRule type="containsText" dxfId="23" priority="36" operator="containsText" text="þ">
      <formula>NOT(ISERROR(SEARCH("þ",D20)))</formula>
    </cfRule>
  </conditionalFormatting>
  <conditionalFormatting sqref="B7">
    <cfRule type="containsBlanks" dxfId="22" priority="27">
      <formula>LEN(TRIM(B7))=0</formula>
    </cfRule>
  </conditionalFormatting>
  <conditionalFormatting sqref="B7:C7">
    <cfRule type="containsBlanks" dxfId="21" priority="26">
      <formula>LEN(TRIM(B7))=0</formula>
    </cfRule>
  </conditionalFormatting>
  <conditionalFormatting sqref="B4">
    <cfRule type="containsBlanks" dxfId="20" priority="25">
      <formula>LEN(TRIM(B4))=0</formula>
    </cfRule>
  </conditionalFormatting>
  <conditionalFormatting sqref="E7">
    <cfRule type="containsBlanks" dxfId="19" priority="29">
      <formula>LEN(TRIM(E7))=0</formula>
    </cfRule>
  </conditionalFormatting>
  <conditionalFormatting sqref="E7:F7">
    <cfRule type="containsBlanks" dxfId="18" priority="28">
      <formula>LEN(TRIM(E7))=0</formula>
    </cfRule>
  </conditionalFormatting>
  <conditionalFormatting sqref="B4:C4">
    <cfRule type="containsBlanks" dxfId="17" priority="24">
      <formula>LEN(TRIM(B4))=0</formula>
    </cfRule>
  </conditionalFormatting>
  <conditionalFormatting sqref="B5">
    <cfRule type="containsBlanks" dxfId="16" priority="23">
      <formula>LEN(TRIM(B5))=0</formula>
    </cfRule>
  </conditionalFormatting>
  <conditionalFormatting sqref="B5:C5">
    <cfRule type="containsBlanks" dxfId="15" priority="22">
      <formula>LEN(TRIM(B5))=0</formula>
    </cfRule>
  </conditionalFormatting>
  <conditionalFormatting sqref="B6">
    <cfRule type="containsBlanks" dxfId="14" priority="21">
      <formula>LEN(TRIM(B6))=0</formula>
    </cfRule>
  </conditionalFormatting>
  <conditionalFormatting sqref="B6:C6">
    <cfRule type="containsBlanks" dxfId="13" priority="20">
      <formula>LEN(TRIM(B6))=0</formula>
    </cfRule>
  </conditionalFormatting>
  <conditionalFormatting sqref="G11 I11">
    <cfRule type="containsBlanks" dxfId="12" priority="19">
      <formula>LEN(TRIM(G11))=0</formula>
    </cfRule>
  </conditionalFormatting>
  <conditionalFormatting sqref="I11">
    <cfRule type="containsText" dxfId="11" priority="17" operator="containsText" text="select AM/PM">
      <formula>NOT(ISERROR(SEARCH("select AM/PM",I11)))</formula>
    </cfRule>
  </conditionalFormatting>
  <conditionalFormatting sqref="B9:B10">
    <cfRule type="containsBlanks" dxfId="10" priority="16">
      <formula>LEN(TRIM(B9))=0</formula>
    </cfRule>
  </conditionalFormatting>
  <conditionalFormatting sqref="B9:C10">
    <cfRule type="containsBlanks" dxfId="9" priority="15">
      <formula>LEN(TRIM(B9))=0</formula>
    </cfRule>
  </conditionalFormatting>
  <conditionalFormatting sqref="H12">
    <cfRule type="containsBlanks" dxfId="8" priority="10">
      <formula>LEN(TRIM(H12))=0</formula>
    </cfRule>
  </conditionalFormatting>
  <conditionalFormatting sqref="H11">
    <cfRule type="containsBlanks" dxfId="7" priority="12">
      <formula>LEN(TRIM(H11))=0</formula>
    </cfRule>
  </conditionalFormatting>
  <conditionalFormatting sqref="G12">
    <cfRule type="containsBlanks" dxfId="6" priority="11">
      <formula>LEN(TRIM(G12))=0</formula>
    </cfRule>
  </conditionalFormatting>
  <conditionalFormatting sqref="D23">
    <cfRule type="containsText" dxfId="5" priority="7" operator="containsText" text="þ">
      <formula>NOT(ISERROR(SEARCH("þ",D23)))</formula>
    </cfRule>
  </conditionalFormatting>
  <conditionalFormatting sqref="D24">
    <cfRule type="containsText" dxfId="4" priority="6" operator="containsText" text="þ">
      <formula>NOT(ISERROR(SEARCH("þ",D24)))</formula>
    </cfRule>
  </conditionalFormatting>
  <conditionalFormatting sqref="B3">
    <cfRule type="containsBlanks" dxfId="3" priority="4">
      <formula>LEN(TRIM(B3))=0</formula>
    </cfRule>
  </conditionalFormatting>
  <conditionalFormatting sqref="B3:C3">
    <cfRule type="containsBlanks" dxfId="2" priority="3">
      <formula>LEN(TRIM(B3))=0</formula>
    </cfRule>
  </conditionalFormatting>
  <conditionalFormatting sqref="K22">
    <cfRule type="containsText" dxfId="1" priority="2" operator="containsText" text="þ">
      <formula>NOT(ISERROR(SEARCH("þ",K22)))</formula>
    </cfRule>
  </conditionalFormatting>
  <conditionalFormatting sqref="K21">
    <cfRule type="containsText" dxfId="0" priority="1" operator="containsText" text="þ">
      <formula>NOT(ISERROR(SEARCH("þ",K21)))</formula>
    </cfRule>
  </conditionalFormatting>
  <pageMargins left="0.70866141732283472" right="0.70866141732283472" top="0.19685039370078741" bottom="0.74803149606299213" header="0.31496062992125984" footer="0.31496062992125984"/>
  <pageSetup paperSize="9" scale="60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parameters!$E$7:$E$9</xm:f>
          </x14:formula1>
          <xm:sqref>I11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FF0000"/>
  </sheetPr>
  <dimension ref="A1:A39"/>
  <sheetViews>
    <sheetView topLeftCell="A2" workbookViewId="0">
      <selection activeCell="A29" sqref="A29"/>
    </sheetView>
  </sheetViews>
  <sheetFormatPr baseColWidth="10" defaultColWidth="8.83203125" defaultRowHeight="15" x14ac:dyDescent="0.2"/>
  <cols>
    <col min="1" max="1" width="103.1640625" customWidth="1"/>
  </cols>
  <sheetData>
    <row r="1" spans="1:1" x14ac:dyDescent="0.2">
      <c r="A1" s="118"/>
    </row>
    <row r="2" spans="1:1" x14ac:dyDescent="0.2">
      <c r="A2" s="118"/>
    </row>
    <row r="3" spans="1:1" x14ac:dyDescent="0.2">
      <c r="A3" s="118"/>
    </row>
    <row r="4" spans="1:1" x14ac:dyDescent="0.2">
      <c r="A4" s="118"/>
    </row>
    <row r="5" spans="1:1" x14ac:dyDescent="0.2">
      <c r="A5" s="118"/>
    </row>
    <row r="6" spans="1:1" x14ac:dyDescent="0.2">
      <c r="A6" s="118"/>
    </row>
    <row r="7" spans="1:1" x14ac:dyDescent="0.2">
      <c r="A7" s="118"/>
    </row>
    <row r="8" spans="1:1" x14ac:dyDescent="0.2">
      <c r="A8" s="118"/>
    </row>
    <row r="9" spans="1:1" x14ac:dyDescent="0.2">
      <c r="A9" s="118"/>
    </row>
    <row r="10" spans="1:1" x14ac:dyDescent="0.2">
      <c r="A10" s="118"/>
    </row>
    <row r="11" spans="1:1" x14ac:dyDescent="0.2">
      <c r="A11" s="118"/>
    </row>
    <row r="12" spans="1:1" x14ac:dyDescent="0.2">
      <c r="A12" s="118"/>
    </row>
    <row r="13" spans="1:1" x14ac:dyDescent="0.2">
      <c r="A13" s="118"/>
    </row>
    <row r="14" spans="1:1" x14ac:dyDescent="0.2">
      <c r="A14" s="118"/>
    </row>
    <row r="15" spans="1:1" x14ac:dyDescent="0.2">
      <c r="A15" s="118"/>
    </row>
    <row r="16" spans="1:1" x14ac:dyDescent="0.2">
      <c r="A16" s="118"/>
    </row>
    <row r="17" spans="1:1" x14ac:dyDescent="0.2">
      <c r="A17" s="118"/>
    </row>
    <row r="18" spans="1:1" x14ac:dyDescent="0.2">
      <c r="A18" s="118"/>
    </row>
    <row r="19" spans="1:1" x14ac:dyDescent="0.2">
      <c r="A19" s="118"/>
    </row>
    <row r="20" spans="1:1" x14ac:dyDescent="0.2">
      <c r="A20" s="118"/>
    </row>
    <row r="21" spans="1:1" x14ac:dyDescent="0.2">
      <c r="A21" s="118"/>
    </row>
    <row r="22" spans="1:1" x14ac:dyDescent="0.2">
      <c r="A22" s="118"/>
    </row>
    <row r="23" spans="1:1" x14ac:dyDescent="0.2">
      <c r="A23" s="118"/>
    </row>
    <row r="24" spans="1:1" x14ac:dyDescent="0.2">
      <c r="A24" s="118"/>
    </row>
    <row r="25" spans="1:1" x14ac:dyDescent="0.2">
      <c r="A25" s="118"/>
    </row>
    <row r="26" spans="1:1" x14ac:dyDescent="0.2">
      <c r="A26" s="118"/>
    </row>
    <row r="27" spans="1:1" x14ac:dyDescent="0.2">
      <c r="A27" s="118"/>
    </row>
    <row r="28" spans="1:1" x14ac:dyDescent="0.2">
      <c r="A28" s="118"/>
    </row>
    <row r="29" spans="1:1" x14ac:dyDescent="0.2">
      <c r="A29" s="118"/>
    </row>
    <row r="30" spans="1:1" x14ac:dyDescent="0.2">
      <c r="A30" s="118"/>
    </row>
    <row r="31" spans="1:1" x14ac:dyDescent="0.2">
      <c r="A31" s="118"/>
    </row>
    <row r="32" spans="1:1" x14ac:dyDescent="0.2">
      <c r="A32" s="118"/>
    </row>
    <row r="33" spans="1:1" x14ac:dyDescent="0.2">
      <c r="A33" s="118"/>
    </row>
    <row r="34" spans="1:1" x14ac:dyDescent="0.2">
      <c r="A34" s="118"/>
    </row>
    <row r="35" spans="1:1" x14ac:dyDescent="0.2">
      <c r="A35" s="118"/>
    </row>
    <row r="36" spans="1:1" x14ac:dyDescent="0.2">
      <c r="A36" s="118"/>
    </row>
    <row r="37" spans="1:1" x14ac:dyDescent="0.2">
      <c r="A37" s="118"/>
    </row>
    <row r="38" spans="1:1" x14ac:dyDescent="0.2">
      <c r="A38" s="118"/>
    </row>
    <row r="39" spans="1:1" x14ac:dyDescent="0.2">
      <c r="A39" s="1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7"/>
  </sheetPr>
  <dimension ref="A1:A9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53.1640625" customWidth="1"/>
  </cols>
  <sheetData>
    <row r="1" spans="1:1" x14ac:dyDescent="0.2">
      <c r="A1" s="118"/>
    </row>
    <row r="2" spans="1:1" ht="29" x14ac:dyDescent="0.35">
      <c r="A2" s="126" t="str">
        <f>Customer!G9</f>
        <v>TRITON GLXR MAN 4X4</v>
      </c>
    </row>
    <row r="3" spans="1:1" ht="29" x14ac:dyDescent="0.35">
      <c r="A3" s="126" t="str">
        <f>Customer!B3</f>
        <v>MR TONY TESTER</v>
      </c>
    </row>
    <row r="4" spans="1:1" ht="29" x14ac:dyDescent="0.35">
      <c r="A4" s="127">
        <f>Customer!B8</f>
        <v>785899</v>
      </c>
    </row>
    <row r="5" spans="1:1" ht="29" x14ac:dyDescent="0.35">
      <c r="A5" s="126" t="str">
        <f>Customer!B9</f>
        <v>WHITE</v>
      </c>
    </row>
    <row r="6" spans="1:1" ht="29" x14ac:dyDescent="0.35">
      <c r="A6" s="128"/>
    </row>
    <row r="7" spans="1:1" ht="29" x14ac:dyDescent="0.35">
      <c r="A7" s="126"/>
    </row>
    <row r="8" spans="1:1" ht="29" x14ac:dyDescent="0.35">
      <c r="A8" s="126"/>
    </row>
    <row r="9" spans="1:1" ht="29" x14ac:dyDescent="0.35">
      <c r="A9" s="1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E21"/>
  <sheetViews>
    <sheetView workbookViewId="0">
      <selection activeCell="A11" sqref="A11:C18"/>
    </sheetView>
  </sheetViews>
  <sheetFormatPr baseColWidth="10" defaultColWidth="8.83203125" defaultRowHeight="15" x14ac:dyDescent="0.2"/>
  <cols>
    <col min="1" max="1" width="24.6640625" bestFit="1" customWidth="1"/>
    <col min="2" max="2" width="20.6640625" bestFit="1" customWidth="1"/>
    <col min="3" max="3" width="23.33203125" bestFit="1" customWidth="1"/>
  </cols>
  <sheetData>
    <row r="2" spans="1:5" x14ac:dyDescent="0.2">
      <c r="A2" t="s">
        <v>33</v>
      </c>
      <c r="E2" t="s">
        <v>34</v>
      </c>
    </row>
    <row r="3" spans="1:5" x14ac:dyDescent="0.2">
      <c r="A3" t="s">
        <v>35</v>
      </c>
      <c r="B3" t="s">
        <v>36</v>
      </c>
      <c r="C3" t="s">
        <v>37</v>
      </c>
      <c r="E3" t="s">
        <v>13</v>
      </c>
    </row>
    <row r="4" spans="1:5" x14ac:dyDescent="0.2">
      <c r="A4" t="s">
        <v>38</v>
      </c>
      <c r="B4" t="s">
        <v>39</v>
      </c>
      <c r="C4" t="s">
        <v>40</v>
      </c>
    </row>
    <row r="5" spans="1:5" x14ac:dyDescent="0.2">
      <c r="A5" t="s">
        <v>41</v>
      </c>
      <c r="B5" t="s">
        <v>42</v>
      </c>
      <c r="C5" t="s">
        <v>43</v>
      </c>
      <c r="E5" s="1" t="s">
        <v>44</v>
      </c>
    </row>
    <row r="6" spans="1:5" x14ac:dyDescent="0.2">
      <c r="A6" t="s">
        <v>45</v>
      </c>
      <c r="B6" t="s">
        <v>46</v>
      </c>
      <c r="C6" t="s">
        <v>47</v>
      </c>
    </row>
    <row r="7" spans="1:5" x14ac:dyDescent="0.2">
      <c r="A7" t="s">
        <v>48</v>
      </c>
      <c r="B7" t="s">
        <v>49</v>
      </c>
      <c r="C7" t="s">
        <v>50</v>
      </c>
      <c r="E7" t="s">
        <v>77</v>
      </c>
    </row>
    <row r="8" spans="1:5" x14ac:dyDescent="0.2">
      <c r="E8" t="s">
        <v>75</v>
      </c>
    </row>
    <row r="9" spans="1:5" x14ac:dyDescent="0.2">
      <c r="E9" t="s">
        <v>76</v>
      </c>
    </row>
    <row r="10" spans="1:5" x14ac:dyDescent="0.2">
      <c r="A10" t="s">
        <v>13</v>
      </c>
    </row>
    <row r="11" spans="1:5" x14ac:dyDescent="0.2">
      <c r="A11" t="s">
        <v>51</v>
      </c>
      <c r="B11" t="s">
        <v>130</v>
      </c>
      <c r="C11" t="s">
        <v>53</v>
      </c>
      <c r="E11" t="s">
        <v>84</v>
      </c>
    </row>
    <row r="12" spans="1:5" x14ac:dyDescent="0.2">
      <c r="A12" t="s">
        <v>54</v>
      </c>
      <c r="B12" t="s">
        <v>92</v>
      </c>
      <c r="C12" t="s">
        <v>55</v>
      </c>
      <c r="E12" t="s">
        <v>82</v>
      </c>
    </row>
    <row r="13" spans="1:5" x14ac:dyDescent="0.2">
      <c r="A13" t="s">
        <v>56</v>
      </c>
      <c r="B13" t="s">
        <v>57</v>
      </c>
      <c r="C13" t="s">
        <v>58</v>
      </c>
      <c r="E13" t="s">
        <v>83</v>
      </c>
    </row>
    <row r="14" spans="1:5" x14ac:dyDescent="0.2">
      <c r="A14" s="52" t="s">
        <v>59</v>
      </c>
      <c r="B14" s="52" t="s">
        <v>60</v>
      </c>
      <c r="C14" s="52" t="s">
        <v>61</v>
      </c>
    </row>
    <row r="15" spans="1:5" x14ac:dyDescent="0.2">
      <c r="A15" s="52" t="s">
        <v>62</v>
      </c>
      <c r="B15" s="52" t="s">
        <v>63</v>
      </c>
      <c r="C15" s="52" t="s">
        <v>64</v>
      </c>
    </row>
    <row r="16" spans="1:5" x14ac:dyDescent="0.2">
      <c r="A16" s="52" t="s">
        <v>65</v>
      </c>
      <c r="B16" s="52" t="s">
        <v>66</v>
      </c>
      <c r="C16" s="52" t="s">
        <v>67</v>
      </c>
    </row>
    <row r="17" spans="1:3" x14ac:dyDescent="0.2">
      <c r="A17" s="52" t="s">
        <v>68</v>
      </c>
      <c r="B17" s="52" t="s">
        <v>69</v>
      </c>
      <c r="C17" s="52" t="s">
        <v>91</v>
      </c>
    </row>
    <row r="18" spans="1:3" x14ac:dyDescent="0.2">
      <c r="A18" s="52" t="s">
        <v>98</v>
      </c>
      <c r="B18" s="52" t="s">
        <v>97</v>
      </c>
      <c r="C18" s="52"/>
    </row>
    <row r="19" spans="1:3" x14ac:dyDescent="0.2">
      <c r="A19" s="52"/>
      <c r="B19" s="52"/>
      <c r="C19" s="52"/>
    </row>
    <row r="20" spans="1:3" x14ac:dyDescent="0.2">
      <c r="A20" s="52"/>
      <c r="B20" s="52"/>
      <c r="C20" s="52"/>
    </row>
    <row r="21" spans="1:3" x14ac:dyDescent="0.2">
      <c r="A21" s="52"/>
      <c r="B21" s="52"/>
      <c r="C21" s="52"/>
    </row>
  </sheetData>
  <sortState ref="A11:C18">
    <sortCondition ref="A11:A18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55"/>
  <sheetViews>
    <sheetView tabSelected="1" topLeftCell="A30" workbookViewId="0">
      <selection activeCell="C33" sqref="C33"/>
    </sheetView>
  </sheetViews>
  <sheetFormatPr baseColWidth="10" defaultColWidth="8.83203125" defaultRowHeight="15" x14ac:dyDescent="0.2"/>
  <cols>
    <col min="1" max="1" width="23.33203125" bestFit="1" customWidth="1"/>
    <col min="2" max="2" width="9.1640625" style="2" bestFit="1"/>
  </cols>
  <sheetData>
    <row r="1" spans="1:3" x14ac:dyDescent="0.2">
      <c r="A1" s="13" t="s">
        <v>70</v>
      </c>
      <c r="B1" s="14" t="s">
        <v>71</v>
      </c>
      <c r="C1" s="13"/>
    </row>
    <row r="2" spans="1:3" x14ac:dyDescent="0.2">
      <c r="A2" t="s">
        <v>35</v>
      </c>
      <c r="B2" s="2">
        <v>158</v>
      </c>
    </row>
    <row r="3" spans="1:3" x14ac:dyDescent="0.2">
      <c r="A3" t="s">
        <v>38</v>
      </c>
      <c r="B3" s="2">
        <v>232.25</v>
      </c>
    </row>
    <row r="4" spans="1:3" x14ac:dyDescent="0.2">
      <c r="A4" t="s">
        <v>41</v>
      </c>
      <c r="B4" s="2">
        <v>40</v>
      </c>
    </row>
    <row r="5" spans="1:3" x14ac:dyDescent="0.2">
      <c r="A5" t="s">
        <v>45</v>
      </c>
      <c r="B5" s="2">
        <v>49.15</v>
      </c>
    </row>
    <row r="6" spans="1:3" x14ac:dyDescent="0.2">
      <c r="A6" t="s">
        <v>48</v>
      </c>
      <c r="B6" s="2">
        <v>1288</v>
      </c>
    </row>
    <row r="7" spans="1:3" x14ac:dyDescent="0.2">
      <c r="A7" t="s">
        <v>36</v>
      </c>
      <c r="B7" s="2">
        <v>107.66</v>
      </c>
    </row>
    <row r="8" spans="1:3" x14ac:dyDescent="0.2">
      <c r="A8" t="s">
        <v>39</v>
      </c>
      <c r="B8" s="2">
        <v>141</v>
      </c>
    </row>
    <row r="9" spans="1:3" x14ac:dyDescent="0.2">
      <c r="A9" t="s">
        <v>42</v>
      </c>
      <c r="B9" s="2">
        <v>61.52</v>
      </c>
    </row>
    <row r="10" spans="1:3" x14ac:dyDescent="0.2">
      <c r="A10" t="s">
        <v>46</v>
      </c>
      <c r="B10" s="2">
        <v>661</v>
      </c>
    </row>
    <row r="11" spans="1:3" x14ac:dyDescent="0.2">
      <c r="A11" t="s">
        <v>49</v>
      </c>
      <c r="B11" s="2">
        <v>143</v>
      </c>
    </row>
    <row r="12" spans="1:3" x14ac:dyDescent="0.2">
      <c r="A12" t="s">
        <v>37</v>
      </c>
      <c r="B12" s="2">
        <v>710</v>
      </c>
    </row>
    <row r="13" spans="1:3" x14ac:dyDescent="0.2">
      <c r="A13" t="s">
        <v>40</v>
      </c>
      <c r="B13" s="2">
        <v>667</v>
      </c>
    </row>
    <row r="14" spans="1:3" x14ac:dyDescent="0.2">
      <c r="A14" t="s">
        <v>43</v>
      </c>
      <c r="B14" s="2">
        <v>211</v>
      </c>
    </row>
    <row r="15" spans="1:3" x14ac:dyDescent="0.2">
      <c r="A15" t="s">
        <v>47</v>
      </c>
      <c r="B15" s="2">
        <v>985</v>
      </c>
    </row>
    <row r="16" spans="1:3" x14ac:dyDescent="0.2">
      <c r="A16" t="s">
        <v>50</v>
      </c>
      <c r="B16" s="2">
        <v>173</v>
      </c>
    </row>
    <row r="32" spans="1:3" x14ac:dyDescent="0.2">
      <c r="A32" s="13" t="s">
        <v>72</v>
      </c>
      <c r="B32" s="15" t="s">
        <v>71</v>
      </c>
      <c r="C32" s="12"/>
    </row>
    <row r="33" spans="1:2" x14ac:dyDescent="0.2">
      <c r="A33" t="s">
        <v>51</v>
      </c>
      <c r="B33" s="2">
        <v>2415</v>
      </c>
    </row>
    <row r="34" spans="1:2" x14ac:dyDescent="0.2">
      <c r="A34" t="s">
        <v>54</v>
      </c>
      <c r="B34" s="2">
        <v>175</v>
      </c>
    </row>
    <row r="35" spans="1:2" x14ac:dyDescent="0.2">
      <c r="A35" t="s">
        <v>56</v>
      </c>
      <c r="B35" s="2">
        <v>2906</v>
      </c>
    </row>
    <row r="36" spans="1:2" x14ac:dyDescent="0.2">
      <c r="A36" t="s">
        <v>59</v>
      </c>
      <c r="B36" s="2">
        <v>433</v>
      </c>
    </row>
    <row r="37" spans="1:2" x14ac:dyDescent="0.2">
      <c r="A37" t="s">
        <v>62</v>
      </c>
      <c r="B37" s="2">
        <v>49.15</v>
      </c>
    </row>
    <row r="38" spans="1:2" x14ac:dyDescent="0.2">
      <c r="A38" t="s">
        <v>65</v>
      </c>
      <c r="B38" s="2">
        <v>49.15</v>
      </c>
    </row>
    <row r="39" spans="1:2" x14ac:dyDescent="0.2">
      <c r="A39" t="s">
        <v>68</v>
      </c>
      <c r="B39" s="2">
        <v>3260</v>
      </c>
    </row>
    <row r="40" spans="1:2" x14ac:dyDescent="0.2">
      <c r="A40" t="s">
        <v>52</v>
      </c>
      <c r="B40" s="2">
        <v>1285.7</v>
      </c>
    </row>
    <row r="41" spans="1:2" x14ac:dyDescent="0.2">
      <c r="A41" t="s">
        <v>92</v>
      </c>
      <c r="B41" s="2">
        <v>669.3</v>
      </c>
    </row>
    <row r="42" spans="1:2" x14ac:dyDescent="0.2">
      <c r="A42" t="s">
        <v>57</v>
      </c>
      <c r="B42" s="2">
        <v>2710</v>
      </c>
    </row>
    <row r="43" spans="1:2" x14ac:dyDescent="0.2">
      <c r="A43" t="s">
        <v>60</v>
      </c>
      <c r="B43" s="2">
        <v>107.66</v>
      </c>
    </row>
    <row r="44" spans="1:2" x14ac:dyDescent="0.2">
      <c r="A44" t="s">
        <v>63</v>
      </c>
      <c r="B44" s="2">
        <v>945</v>
      </c>
    </row>
    <row r="45" spans="1:2" x14ac:dyDescent="0.2">
      <c r="A45" t="s">
        <v>66</v>
      </c>
      <c r="B45" s="2">
        <v>61.52</v>
      </c>
    </row>
    <row r="46" spans="1:2" x14ac:dyDescent="0.2">
      <c r="A46" t="s">
        <v>69</v>
      </c>
      <c r="B46" s="2">
        <v>425</v>
      </c>
    </row>
    <row r="47" spans="1:2" x14ac:dyDescent="0.2">
      <c r="A47" t="s">
        <v>53</v>
      </c>
      <c r="B47" s="2">
        <v>579.02</v>
      </c>
    </row>
    <row r="48" spans="1:2" x14ac:dyDescent="0.2">
      <c r="A48" t="s">
        <v>55</v>
      </c>
      <c r="B48" s="2">
        <v>206</v>
      </c>
    </row>
    <row r="49" spans="1:2" x14ac:dyDescent="0.2">
      <c r="A49" t="s">
        <v>58</v>
      </c>
      <c r="B49" s="2">
        <v>727.95</v>
      </c>
    </row>
    <row r="50" spans="1:2" x14ac:dyDescent="0.2">
      <c r="A50" t="s">
        <v>61</v>
      </c>
      <c r="B50" s="2">
        <v>886.69</v>
      </c>
    </row>
    <row r="51" spans="1:2" x14ac:dyDescent="0.2">
      <c r="A51" t="s">
        <v>64</v>
      </c>
      <c r="B51" s="2">
        <v>2584</v>
      </c>
    </row>
    <row r="52" spans="1:2" x14ac:dyDescent="0.2">
      <c r="A52" t="s">
        <v>67</v>
      </c>
      <c r="B52" s="2">
        <v>173.58</v>
      </c>
    </row>
    <row r="53" spans="1:2" x14ac:dyDescent="0.2">
      <c r="A53" t="s">
        <v>91</v>
      </c>
      <c r="B53" s="2">
        <v>476.1</v>
      </c>
    </row>
    <row r="54" spans="1:2" x14ac:dyDescent="0.2">
      <c r="A54" t="s">
        <v>98</v>
      </c>
      <c r="B54" s="2">
        <v>460</v>
      </c>
    </row>
    <row r="55" spans="1:2" x14ac:dyDescent="0.2">
      <c r="A55" t="s">
        <v>97</v>
      </c>
      <c r="B55" s="2">
        <v>376</v>
      </c>
    </row>
  </sheetData>
  <sortState ref="A33:B52">
    <sortCondition ref="A3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Customer</vt:lpstr>
      <vt:lpstr>Cost sheet</vt:lpstr>
      <vt:lpstr>Workshop</vt:lpstr>
      <vt:lpstr>Appraisal</vt:lpstr>
      <vt:lpstr>LABLE</vt:lpstr>
      <vt:lpstr>Sheet1</vt:lpstr>
      <vt:lpstr>parameters</vt:lpstr>
      <vt:lpstr>Cost of Extras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Jess HP</dc:creator>
  <cp:keywords/>
  <dc:description/>
  <cp:lastModifiedBy>Microsoft Office User</cp:lastModifiedBy>
  <cp:revision/>
  <cp:lastPrinted>2017-11-16T21:55:23Z</cp:lastPrinted>
  <dcterms:created xsi:type="dcterms:W3CDTF">2017-04-15T07:31:19Z</dcterms:created>
  <dcterms:modified xsi:type="dcterms:W3CDTF">2018-05-10T07:51:57Z</dcterms:modified>
  <cp:category/>
  <cp:contentStatus/>
</cp:coreProperties>
</file>